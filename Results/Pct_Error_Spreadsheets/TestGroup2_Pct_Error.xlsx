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CIS 537\Final Project\charts\"/>
    </mc:Choice>
  </mc:AlternateContent>
  <xr:revisionPtr revIDLastSave="0" documentId="13_ncr:1_{CEF2D06C-929C-4A9B-89AE-B677A0BEF0C1}" xr6:coauthVersionLast="47" xr6:coauthVersionMax="47" xr10:uidLastSave="{00000000-0000-0000-0000-000000000000}"/>
  <bookViews>
    <workbookView xWindow="25800" yWindow="0" windowWidth="25800" windowHeight="21000" activeTab="2" xr2:uid="{219345A3-B879-4BE8-9EE4-19EBA8378FF8}"/>
  </bookViews>
  <sheets>
    <sheet name="0.1 Seconds Traffic Gen" sheetId="1" r:id="rId1"/>
    <sheet name="0.5 Seconds Traffic Gen" sheetId="3" r:id="rId2"/>
    <sheet name="Sheet4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1" l="1"/>
  <c r="AD3" i="3"/>
  <c r="AD2" i="3"/>
  <c r="AD1" i="3"/>
  <c r="AD3" i="1"/>
  <c r="AD2" i="1"/>
  <c r="D1083" i="3"/>
  <c r="E1083" i="3" s="1"/>
  <c r="K1070" i="3" s="1"/>
  <c r="U1079" i="3" s="1"/>
  <c r="D1082" i="3"/>
  <c r="E1082" i="3" s="1"/>
  <c r="D1081" i="3"/>
  <c r="E1081" i="3" s="1"/>
  <c r="K1068" i="3" s="1"/>
  <c r="U1077" i="3" s="1"/>
  <c r="D1080" i="3"/>
  <c r="E1080" i="3" s="1"/>
  <c r="K1067" i="3" s="1"/>
  <c r="U1076" i="3" s="1"/>
  <c r="D1079" i="3"/>
  <c r="E1079" i="3" s="1"/>
  <c r="K1066" i="3" s="1"/>
  <c r="U1075" i="3" s="1"/>
  <c r="D1078" i="3"/>
  <c r="E1078" i="3" s="1"/>
  <c r="K1065" i="3" s="1"/>
  <c r="U1074" i="3" s="1"/>
  <c r="D1077" i="3"/>
  <c r="E1077" i="3" s="1"/>
  <c r="K1064" i="3" s="1"/>
  <c r="U1073" i="3" s="1"/>
  <c r="D1076" i="3"/>
  <c r="E1076" i="3" s="1"/>
  <c r="K1063" i="3" s="1"/>
  <c r="U1072" i="3" s="1"/>
  <c r="D1075" i="3"/>
  <c r="E1075" i="3" s="1"/>
  <c r="K1062" i="3" s="1"/>
  <c r="U1071" i="3" s="1"/>
  <c r="D1074" i="3"/>
  <c r="E1074" i="3" s="1"/>
  <c r="K1061" i="3" s="1"/>
  <c r="D1070" i="3"/>
  <c r="E1070" i="3" s="1"/>
  <c r="J1070" i="3" s="1"/>
  <c r="U1069" i="3" s="1"/>
  <c r="K1069" i="3"/>
  <c r="U1078" i="3" s="1"/>
  <c r="D1069" i="3"/>
  <c r="E1069" i="3" s="1"/>
  <c r="J1069" i="3" s="1"/>
  <c r="U1068" i="3" s="1"/>
  <c r="D1068" i="3"/>
  <c r="E1068" i="3" s="1"/>
  <c r="J1068" i="3" s="1"/>
  <c r="U1067" i="3" s="1"/>
  <c r="D1067" i="3"/>
  <c r="E1067" i="3" s="1"/>
  <c r="J1067" i="3" s="1"/>
  <c r="U1066" i="3" s="1"/>
  <c r="D1066" i="3"/>
  <c r="E1066" i="3" s="1"/>
  <c r="J1066" i="3" s="1"/>
  <c r="U1065" i="3" s="1"/>
  <c r="D1065" i="3"/>
  <c r="E1065" i="3" s="1"/>
  <c r="J1065" i="3" s="1"/>
  <c r="U1064" i="3" s="1"/>
  <c r="D1064" i="3"/>
  <c r="E1064" i="3" s="1"/>
  <c r="J1064" i="3" s="1"/>
  <c r="U1063" i="3" s="1"/>
  <c r="D1063" i="3"/>
  <c r="E1063" i="3" s="1"/>
  <c r="J1063" i="3" s="1"/>
  <c r="U1062" i="3" s="1"/>
  <c r="D1062" i="3"/>
  <c r="E1062" i="3" s="1"/>
  <c r="J1062" i="3" s="1"/>
  <c r="U1061" i="3" s="1"/>
  <c r="D1061" i="3"/>
  <c r="E1061" i="3" s="1"/>
  <c r="J1061" i="3" s="1"/>
  <c r="U1060" i="3" s="1"/>
  <c r="D1056" i="3"/>
  <c r="E1056" i="3" s="1"/>
  <c r="K1043" i="3" s="1"/>
  <c r="U1052" i="3" s="1"/>
  <c r="D1055" i="3"/>
  <c r="E1055" i="3" s="1"/>
  <c r="K1042" i="3" s="1"/>
  <c r="U1051" i="3" s="1"/>
  <c r="D1054" i="3"/>
  <c r="E1054" i="3" s="1"/>
  <c r="K1041" i="3" s="1"/>
  <c r="U1050" i="3" s="1"/>
  <c r="D1053" i="3"/>
  <c r="E1053" i="3" s="1"/>
  <c r="K1040" i="3" s="1"/>
  <c r="U1049" i="3" s="1"/>
  <c r="D1052" i="3"/>
  <c r="E1052" i="3" s="1"/>
  <c r="K1039" i="3" s="1"/>
  <c r="U1048" i="3" s="1"/>
  <c r="D1051" i="3"/>
  <c r="E1051" i="3" s="1"/>
  <c r="K1038" i="3" s="1"/>
  <c r="U1047" i="3" s="1"/>
  <c r="D1050" i="3"/>
  <c r="E1050" i="3" s="1"/>
  <c r="K1037" i="3" s="1"/>
  <c r="U1046" i="3" s="1"/>
  <c r="D1049" i="3"/>
  <c r="E1049" i="3" s="1"/>
  <c r="K1036" i="3" s="1"/>
  <c r="U1045" i="3" s="1"/>
  <c r="D1048" i="3"/>
  <c r="E1048" i="3" s="1"/>
  <c r="K1035" i="3" s="1"/>
  <c r="U1044" i="3" s="1"/>
  <c r="D1047" i="3"/>
  <c r="E1047" i="3" s="1"/>
  <c r="K1034" i="3" s="1"/>
  <c r="D1043" i="3"/>
  <c r="E1043" i="3" s="1"/>
  <c r="J1043" i="3" s="1"/>
  <c r="U1042" i="3" s="1"/>
  <c r="D1042" i="3"/>
  <c r="E1042" i="3" s="1"/>
  <c r="J1042" i="3" s="1"/>
  <c r="U1041" i="3" s="1"/>
  <c r="D1041" i="3"/>
  <c r="E1041" i="3" s="1"/>
  <c r="J1041" i="3" s="1"/>
  <c r="U1040" i="3" s="1"/>
  <c r="D1040" i="3"/>
  <c r="E1040" i="3" s="1"/>
  <c r="J1040" i="3" s="1"/>
  <c r="U1039" i="3" s="1"/>
  <c r="D1039" i="3"/>
  <c r="E1039" i="3" s="1"/>
  <c r="J1039" i="3" s="1"/>
  <c r="U1038" i="3" s="1"/>
  <c r="D1038" i="3"/>
  <c r="E1038" i="3" s="1"/>
  <c r="J1038" i="3" s="1"/>
  <c r="U1037" i="3" s="1"/>
  <c r="D1037" i="3"/>
  <c r="E1037" i="3" s="1"/>
  <c r="J1037" i="3" s="1"/>
  <c r="U1036" i="3" s="1"/>
  <c r="D1036" i="3"/>
  <c r="E1036" i="3" s="1"/>
  <c r="J1036" i="3" s="1"/>
  <c r="U1035" i="3" s="1"/>
  <c r="D1035" i="3"/>
  <c r="E1035" i="3" s="1"/>
  <c r="J1035" i="3" s="1"/>
  <c r="U1034" i="3" s="1"/>
  <c r="D1034" i="3"/>
  <c r="E1034" i="3" s="1"/>
  <c r="J1034" i="3" s="1"/>
  <c r="D1029" i="3"/>
  <c r="E1029" i="3" s="1"/>
  <c r="K1016" i="3" s="1"/>
  <c r="U1025" i="3" s="1"/>
  <c r="D1028" i="3"/>
  <c r="E1028" i="3" s="1"/>
  <c r="K1015" i="3" s="1"/>
  <c r="D1027" i="3"/>
  <c r="E1027" i="3" s="1"/>
  <c r="K1014" i="3" s="1"/>
  <c r="U1023" i="3" s="1"/>
  <c r="D1026" i="3"/>
  <c r="E1026" i="3" s="1"/>
  <c r="K1013" i="3" s="1"/>
  <c r="U1022" i="3" s="1"/>
  <c r="D1025" i="3"/>
  <c r="E1025" i="3" s="1"/>
  <c r="K1012" i="3" s="1"/>
  <c r="U1021" i="3" s="1"/>
  <c r="U1024" i="3"/>
  <c r="D1024" i="3"/>
  <c r="E1024" i="3" s="1"/>
  <c r="K1011" i="3" s="1"/>
  <c r="U1020" i="3" s="1"/>
  <c r="D1023" i="3"/>
  <c r="E1023" i="3" s="1"/>
  <c r="K1010" i="3" s="1"/>
  <c r="U1019" i="3" s="1"/>
  <c r="D1022" i="3"/>
  <c r="E1022" i="3" s="1"/>
  <c r="K1009" i="3" s="1"/>
  <c r="U1018" i="3" s="1"/>
  <c r="D1021" i="3"/>
  <c r="E1021" i="3" s="1"/>
  <c r="K1008" i="3" s="1"/>
  <c r="U1017" i="3" s="1"/>
  <c r="D1020" i="3"/>
  <c r="E1020" i="3" s="1"/>
  <c r="K1007" i="3" s="1"/>
  <c r="D1016" i="3"/>
  <c r="E1016" i="3" s="1"/>
  <c r="J1016" i="3" s="1"/>
  <c r="U1015" i="3" s="1"/>
  <c r="D1015" i="3"/>
  <c r="E1015" i="3" s="1"/>
  <c r="J1015" i="3" s="1"/>
  <c r="U1014" i="3" s="1"/>
  <c r="D1014" i="3"/>
  <c r="E1014" i="3" s="1"/>
  <c r="J1014" i="3" s="1"/>
  <c r="U1013" i="3" s="1"/>
  <c r="D1013" i="3"/>
  <c r="E1013" i="3" s="1"/>
  <c r="J1013" i="3" s="1"/>
  <c r="U1012" i="3" s="1"/>
  <c r="D1012" i="3"/>
  <c r="E1012" i="3" s="1"/>
  <c r="J1012" i="3" s="1"/>
  <c r="U1011" i="3" s="1"/>
  <c r="D1011" i="3"/>
  <c r="E1011" i="3" s="1"/>
  <c r="J1011" i="3" s="1"/>
  <c r="U1010" i="3" s="1"/>
  <c r="D1010" i="3"/>
  <c r="E1010" i="3" s="1"/>
  <c r="J1010" i="3" s="1"/>
  <c r="U1009" i="3" s="1"/>
  <c r="D1009" i="3"/>
  <c r="E1009" i="3" s="1"/>
  <c r="J1009" i="3" s="1"/>
  <c r="U1008" i="3" s="1"/>
  <c r="D1008" i="3"/>
  <c r="E1008" i="3" s="1"/>
  <c r="J1008" i="3" s="1"/>
  <c r="U1007" i="3" s="1"/>
  <c r="D1007" i="3"/>
  <c r="E1007" i="3" s="1"/>
  <c r="J1007" i="3" s="1"/>
  <c r="U1006" i="3" s="1"/>
  <c r="D1002" i="3"/>
  <c r="E1002" i="3" s="1"/>
  <c r="K989" i="3" s="1"/>
  <c r="U998" i="3" s="1"/>
  <c r="D1001" i="3"/>
  <c r="E1001" i="3" s="1"/>
  <c r="K988" i="3" s="1"/>
  <c r="U997" i="3" s="1"/>
  <c r="D1000" i="3"/>
  <c r="E1000" i="3" s="1"/>
  <c r="K987" i="3" s="1"/>
  <c r="U996" i="3" s="1"/>
  <c r="D999" i="3"/>
  <c r="E999" i="3" s="1"/>
  <c r="K986" i="3" s="1"/>
  <c r="U995" i="3" s="1"/>
  <c r="E998" i="3"/>
  <c r="K985" i="3" s="1"/>
  <c r="U994" i="3" s="1"/>
  <c r="D998" i="3"/>
  <c r="D997" i="3"/>
  <c r="E997" i="3" s="1"/>
  <c r="K984" i="3" s="1"/>
  <c r="U993" i="3" s="1"/>
  <c r="D996" i="3"/>
  <c r="E996" i="3" s="1"/>
  <c r="K983" i="3" s="1"/>
  <c r="U992" i="3" s="1"/>
  <c r="D995" i="3"/>
  <c r="E995" i="3" s="1"/>
  <c r="K982" i="3" s="1"/>
  <c r="U991" i="3" s="1"/>
  <c r="D994" i="3"/>
  <c r="E994" i="3" s="1"/>
  <c r="K981" i="3" s="1"/>
  <c r="U990" i="3" s="1"/>
  <c r="D993" i="3"/>
  <c r="E993" i="3" s="1"/>
  <c r="K980" i="3" s="1"/>
  <c r="D989" i="3"/>
  <c r="E989" i="3" s="1"/>
  <c r="J989" i="3" s="1"/>
  <c r="U988" i="3" s="1"/>
  <c r="D988" i="3"/>
  <c r="E988" i="3" s="1"/>
  <c r="J988" i="3" s="1"/>
  <c r="U987" i="3" s="1"/>
  <c r="D987" i="3"/>
  <c r="E987" i="3" s="1"/>
  <c r="J987" i="3" s="1"/>
  <c r="U986" i="3" s="1"/>
  <c r="D986" i="3"/>
  <c r="E986" i="3" s="1"/>
  <c r="J986" i="3" s="1"/>
  <c r="U985" i="3" s="1"/>
  <c r="D985" i="3"/>
  <c r="E985" i="3" s="1"/>
  <c r="J985" i="3" s="1"/>
  <c r="U984" i="3" s="1"/>
  <c r="D984" i="3"/>
  <c r="E984" i="3" s="1"/>
  <c r="J984" i="3" s="1"/>
  <c r="U983" i="3" s="1"/>
  <c r="D983" i="3"/>
  <c r="E983" i="3" s="1"/>
  <c r="J983" i="3" s="1"/>
  <c r="U982" i="3" s="1"/>
  <c r="D982" i="3"/>
  <c r="E982" i="3" s="1"/>
  <c r="J982" i="3" s="1"/>
  <c r="U981" i="3" s="1"/>
  <c r="D981" i="3"/>
  <c r="E981" i="3" s="1"/>
  <c r="J981" i="3" s="1"/>
  <c r="U980" i="3" s="1"/>
  <c r="D980" i="3"/>
  <c r="E980" i="3" s="1"/>
  <c r="J980" i="3" s="1"/>
  <c r="D975" i="3"/>
  <c r="E975" i="3" s="1"/>
  <c r="K962" i="3" s="1"/>
  <c r="U971" i="3" s="1"/>
  <c r="D974" i="3"/>
  <c r="E974" i="3" s="1"/>
  <c r="K961" i="3" s="1"/>
  <c r="U970" i="3" s="1"/>
  <c r="E973" i="3"/>
  <c r="K960" i="3" s="1"/>
  <c r="U969" i="3" s="1"/>
  <c r="D973" i="3"/>
  <c r="D972" i="3"/>
  <c r="E972" i="3" s="1"/>
  <c r="K959" i="3" s="1"/>
  <c r="U968" i="3" s="1"/>
  <c r="D971" i="3"/>
  <c r="E971" i="3" s="1"/>
  <c r="K958" i="3" s="1"/>
  <c r="U967" i="3" s="1"/>
  <c r="D970" i="3"/>
  <c r="E970" i="3" s="1"/>
  <c r="K957" i="3" s="1"/>
  <c r="U966" i="3" s="1"/>
  <c r="D969" i="3"/>
  <c r="E969" i="3" s="1"/>
  <c r="K956" i="3" s="1"/>
  <c r="U965" i="3" s="1"/>
  <c r="D968" i="3"/>
  <c r="E968" i="3" s="1"/>
  <c r="K955" i="3" s="1"/>
  <c r="U964" i="3" s="1"/>
  <c r="D967" i="3"/>
  <c r="E967" i="3" s="1"/>
  <c r="K954" i="3" s="1"/>
  <c r="U963" i="3" s="1"/>
  <c r="D966" i="3"/>
  <c r="E966" i="3" s="1"/>
  <c r="K953" i="3" s="1"/>
  <c r="D962" i="3"/>
  <c r="E962" i="3" s="1"/>
  <c r="J962" i="3" s="1"/>
  <c r="U961" i="3" s="1"/>
  <c r="D961" i="3"/>
  <c r="E961" i="3" s="1"/>
  <c r="J961" i="3" s="1"/>
  <c r="U960" i="3" s="1"/>
  <c r="D960" i="3"/>
  <c r="E960" i="3" s="1"/>
  <c r="J960" i="3" s="1"/>
  <c r="U959" i="3" s="1"/>
  <c r="D959" i="3"/>
  <c r="E959" i="3" s="1"/>
  <c r="J959" i="3" s="1"/>
  <c r="U958" i="3" s="1"/>
  <c r="D958" i="3"/>
  <c r="E958" i="3" s="1"/>
  <c r="J958" i="3" s="1"/>
  <c r="U957" i="3" s="1"/>
  <c r="D957" i="3"/>
  <c r="E957" i="3" s="1"/>
  <c r="J957" i="3" s="1"/>
  <c r="U956" i="3" s="1"/>
  <c r="D956" i="3"/>
  <c r="E956" i="3" s="1"/>
  <c r="J956" i="3" s="1"/>
  <c r="U955" i="3" s="1"/>
  <c r="D955" i="3"/>
  <c r="E955" i="3" s="1"/>
  <c r="J955" i="3" s="1"/>
  <c r="U954" i="3" s="1"/>
  <c r="D954" i="3"/>
  <c r="E954" i="3" s="1"/>
  <c r="J954" i="3" s="1"/>
  <c r="U953" i="3" s="1"/>
  <c r="D953" i="3"/>
  <c r="E953" i="3" s="1"/>
  <c r="J953" i="3" s="1"/>
  <c r="D948" i="3"/>
  <c r="E948" i="3" s="1"/>
  <c r="K935" i="3" s="1"/>
  <c r="U944" i="3" s="1"/>
  <c r="D947" i="3"/>
  <c r="E947" i="3" s="1"/>
  <c r="K934" i="3" s="1"/>
  <c r="U943" i="3" s="1"/>
  <c r="D946" i="3"/>
  <c r="E946" i="3" s="1"/>
  <c r="K933" i="3" s="1"/>
  <c r="U942" i="3" s="1"/>
  <c r="D945" i="3"/>
  <c r="E945" i="3" s="1"/>
  <c r="K932" i="3" s="1"/>
  <c r="U941" i="3" s="1"/>
  <c r="D944" i="3"/>
  <c r="E944" i="3" s="1"/>
  <c r="K931" i="3" s="1"/>
  <c r="U940" i="3" s="1"/>
  <c r="D943" i="3"/>
  <c r="E943" i="3" s="1"/>
  <c r="K930" i="3" s="1"/>
  <c r="U939" i="3" s="1"/>
  <c r="D942" i="3"/>
  <c r="E942" i="3" s="1"/>
  <c r="K929" i="3" s="1"/>
  <c r="U938" i="3" s="1"/>
  <c r="D941" i="3"/>
  <c r="E941" i="3" s="1"/>
  <c r="K928" i="3" s="1"/>
  <c r="U937" i="3" s="1"/>
  <c r="D940" i="3"/>
  <c r="E940" i="3" s="1"/>
  <c r="K927" i="3" s="1"/>
  <c r="U936" i="3" s="1"/>
  <c r="D939" i="3"/>
  <c r="E939" i="3" s="1"/>
  <c r="K926" i="3" s="1"/>
  <c r="D935" i="3"/>
  <c r="E935" i="3" s="1"/>
  <c r="J935" i="3" s="1"/>
  <c r="U934" i="3" s="1"/>
  <c r="D934" i="3"/>
  <c r="E934" i="3" s="1"/>
  <c r="J934" i="3" s="1"/>
  <c r="U933" i="3" s="1"/>
  <c r="D933" i="3"/>
  <c r="E933" i="3" s="1"/>
  <c r="J933" i="3" s="1"/>
  <c r="U932" i="3" s="1"/>
  <c r="D932" i="3"/>
  <c r="E932" i="3" s="1"/>
  <c r="J932" i="3" s="1"/>
  <c r="U931" i="3" s="1"/>
  <c r="D931" i="3"/>
  <c r="E931" i="3" s="1"/>
  <c r="J931" i="3" s="1"/>
  <c r="U930" i="3" s="1"/>
  <c r="D930" i="3"/>
  <c r="E930" i="3" s="1"/>
  <c r="J930" i="3" s="1"/>
  <c r="U929" i="3" s="1"/>
  <c r="D929" i="3"/>
  <c r="E929" i="3" s="1"/>
  <c r="J929" i="3" s="1"/>
  <c r="U928" i="3" s="1"/>
  <c r="D928" i="3"/>
  <c r="E928" i="3" s="1"/>
  <c r="J928" i="3" s="1"/>
  <c r="U927" i="3" s="1"/>
  <c r="D927" i="3"/>
  <c r="E927" i="3" s="1"/>
  <c r="J927" i="3" s="1"/>
  <c r="U926" i="3" s="1"/>
  <c r="D926" i="3"/>
  <c r="E926" i="3" s="1"/>
  <c r="J926" i="3" s="1"/>
  <c r="D921" i="3"/>
  <c r="E921" i="3" s="1"/>
  <c r="K908" i="3" s="1"/>
  <c r="U917" i="3" s="1"/>
  <c r="D920" i="3"/>
  <c r="E920" i="3" s="1"/>
  <c r="K907" i="3" s="1"/>
  <c r="U916" i="3" s="1"/>
  <c r="D919" i="3"/>
  <c r="E919" i="3" s="1"/>
  <c r="D918" i="3"/>
  <c r="E918" i="3" s="1"/>
  <c r="K905" i="3" s="1"/>
  <c r="U914" i="3" s="1"/>
  <c r="D917" i="3"/>
  <c r="E917" i="3" s="1"/>
  <c r="K904" i="3" s="1"/>
  <c r="U913" i="3" s="1"/>
  <c r="E916" i="3"/>
  <c r="K903" i="3" s="1"/>
  <c r="U912" i="3" s="1"/>
  <c r="D916" i="3"/>
  <c r="D915" i="3"/>
  <c r="E915" i="3" s="1"/>
  <c r="K902" i="3" s="1"/>
  <c r="U911" i="3" s="1"/>
  <c r="E914" i="3"/>
  <c r="K901" i="3" s="1"/>
  <c r="U910" i="3" s="1"/>
  <c r="D914" i="3"/>
  <c r="D913" i="3"/>
  <c r="E913" i="3" s="1"/>
  <c r="K900" i="3" s="1"/>
  <c r="U909" i="3" s="1"/>
  <c r="D912" i="3"/>
  <c r="E912" i="3" s="1"/>
  <c r="K899" i="3" s="1"/>
  <c r="D908" i="3"/>
  <c r="E908" i="3" s="1"/>
  <c r="J908" i="3" s="1"/>
  <c r="U907" i="3"/>
  <c r="D907" i="3"/>
  <c r="E907" i="3" s="1"/>
  <c r="J907" i="3" s="1"/>
  <c r="U906" i="3" s="1"/>
  <c r="K906" i="3"/>
  <c r="U915" i="3" s="1"/>
  <c r="D906" i="3"/>
  <c r="E906" i="3" s="1"/>
  <c r="J906" i="3" s="1"/>
  <c r="U905" i="3" s="1"/>
  <c r="D905" i="3"/>
  <c r="E905" i="3" s="1"/>
  <c r="J905" i="3" s="1"/>
  <c r="U904" i="3" s="1"/>
  <c r="D904" i="3"/>
  <c r="E904" i="3" s="1"/>
  <c r="J904" i="3" s="1"/>
  <c r="U903" i="3"/>
  <c r="D903" i="3"/>
  <c r="E903" i="3" s="1"/>
  <c r="J903" i="3" s="1"/>
  <c r="U902" i="3" s="1"/>
  <c r="D902" i="3"/>
  <c r="E902" i="3" s="1"/>
  <c r="J902" i="3" s="1"/>
  <c r="U901" i="3" s="1"/>
  <c r="D901" i="3"/>
  <c r="E901" i="3" s="1"/>
  <c r="J901" i="3" s="1"/>
  <c r="U900" i="3" s="1"/>
  <c r="D900" i="3"/>
  <c r="E900" i="3" s="1"/>
  <c r="J900" i="3" s="1"/>
  <c r="U899" i="3" s="1"/>
  <c r="D899" i="3"/>
  <c r="E899" i="3" s="1"/>
  <c r="J899" i="3" s="1"/>
  <c r="D894" i="3"/>
  <c r="E894" i="3" s="1"/>
  <c r="K881" i="3" s="1"/>
  <c r="U890" i="3" s="1"/>
  <c r="D893" i="3"/>
  <c r="E893" i="3" s="1"/>
  <c r="K880" i="3" s="1"/>
  <c r="U889" i="3" s="1"/>
  <c r="D892" i="3"/>
  <c r="E892" i="3" s="1"/>
  <c r="K879" i="3" s="1"/>
  <c r="U888" i="3" s="1"/>
  <c r="D891" i="3"/>
  <c r="E891" i="3" s="1"/>
  <c r="K878" i="3" s="1"/>
  <c r="D890" i="3"/>
  <c r="E890" i="3" s="1"/>
  <c r="K877" i="3" s="1"/>
  <c r="U886" i="3" s="1"/>
  <c r="E889" i="3"/>
  <c r="K876" i="3" s="1"/>
  <c r="U885" i="3" s="1"/>
  <c r="D889" i="3"/>
  <c r="D888" i="3"/>
  <c r="E888" i="3" s="1"/>
  <c r="K875" i="3" s="1"/>
  <c r="U884" i="3" s="1"/>
  <c r="U887" i="3"/>
  <c r="D887" i="3"/>
  <c r="E887" i="3" s="1"/>
  <c r="K874" i="3" s="1"/>
  <c r="U883" i="3" s="1"/>
  <c r="D886" i="3"/>
  <c r="E886" i="3" s="1"/>
  <c r="K873" i="3" s="1"/>
  <c r="U882" i="3" s="1"/>
  <c r="D885" i="3"/>
  <c r="E885" i="3" s="1"/>
  <c r="K872" i="3" s="1"/>
  <c r="D881" i="3"/>
  <c r="E881" i="3" s="1"/>
  <c r="J881" i="3" s="1"/>
  <c r="U880" i="3" s="1"/>
  <c r="D880" i="3"/>
  <c r="E880" i="3" s="1"/>
  <c r="J880" i="3" s="1"/>
  <c r="U879" i="3" s="1"/>
  <c r="D879" i="3"/>
  <c r="E879" i="3" s="1"/>
  <c r="J879" i="3" s="1"/>
  <c r="U878" i="3" s="1"/>
  <c r="D878" i="3"/>
  <c r="E878" i="3" s="1"/>
  <c r="J878" i="3" s="1"/>
  <c r="U877" i="3" s="1"/>
  <c r="D877" i="3"/>
  <c r="E877" i="3" s="1"/>
  <c r="J877" i="3" s="1"/>
  <c r="U876" i="3" s="1"/>
  <c r="D876" i="3"/>
  <c r="E876" i="3" s="1"/>
  <c r="J876" i="3" s="1"/>
  <c r="U875" i="3" s="1"/>
  <c r="D875" i="3"/>
  <c r="E875" i="3" s="1"/>
  <c r="J875" i="3" s="1"/>
  <c r="U874" i="3" s="1"/>
  <c r="D874" i="3"/>
  <c r="E874" i="3" s="1"/>
  <c r="J874" i="3" s="1"/>
  <c r="U873" i="3" s="1"/>
  <c r="D873" i="3"/>
  <c r="E873" i="3" s="1"/>
  <c r="J873" i="3" s="1"/>
  <c r="D872" i="3"/>
  <c r="E872" i="3" s="1"/>
  <c r="J872" i="3" s="1"/>
  <c r="U871" i="3" s="1"/>
  <c r="D867" i="3"/>
  <c r="E867" i="3" s="1"/>
  <c r="K854" i="3" s="1"/>
  <c r="U863" i="3" s="1"/>
  <c r="D866" i="3"/>
  <c r="E866" i="3" s="1"/>
  <c r="K853" i="3" s="1"/>
  <c r="U862" i="3" s="1"/>
  <c r="D865" i="3"/>
  <c r="E865" i="3" s="1"/>
  <c r="K852" i="3" s="1"/>
  <c r="U861" i="3" s="1"/>
  <c r="D864" i="3"/>
  <c r="E864" i="3" s="1"/>
  <c r="K851" i="3" s="1"/>
  <c r="U860" i="3" s="1"/>
  <c r="D863" i="3"/>
  <c r="E863" i="3" s="1"/>
  <c r="K850" i="3" s="1"/>
  <c r="E862" i="3"/>
  <c r="D862" i="3"/>
  <c r="D861" i="3"/>
  <c r="E861" i="3" s="1"/>
  <c r="K848" i="3" s="1"/>
  <c r="D860" i="3"/>
  <c r="E860" i="3" s="1"/>
  <c r="K847" i="3" s="1"/>
  <c r="U856" i="3" s="1"/>
  <c r="D859" i="3"/>
  <c r="E859" i="3" s="1"/>
  <c r="K846" i="3" s="1"/>
  <c r="U855" i="3" s="1"/>
  <c r="D858" i="3"/>
  <c r="E858" i="3" s="1"/>
  <c r="K845" i="3" s="1"/>
  <c r="U854" i="3" s="1"/>
  <c r="U857" i="3"/>
  <c r="D854" i="3"/>
  <c r="E854" i="3" s="1"/>
  <c r="J854" i="3" s="1"/>
  <c r="U853" i="3" s="1"/>
  <c r="D853" i="3"/>
  <c r="E853" i="3" s="1"/>
  <c r="J853" i="3" s="1"/>
  <c r="U852" i="3" s="1"/>
  <c r="D852" i="3"/>
  <c r="E852" i="3" s="1"/>
  <c r="J852" i="3" s="1"/>
  <c r="U851" i="3" s="1"/>
  <c r="D851" i="3"/>
  <c r="E851" i="3" s="1"/>
  <c r="J851" i="3" s="1"/>
  <c r="U850" i="3" s="1"/>
  <c r="D850" i="3"/>
  <c r="E850" i="3" s="1"/>
  <c r="J850" i="3" s="1"/>
  <c r="U849" i="3" s="1"/>
  <c r="K849" i="3"/>
  <c r="U858" i="3" s="1"/>
  <c r="D849" i="3"/>
  <c r="E849" i="3" s="1"/>
  <c r="J849" i="3" s="1"/>
  <c r="U848" i="3" s="1"/>
  <c r="D848" i="3"/>
  <c r="E848" i="3" s="1"/>
  <c r="J848" i="3" s="1"/>
  <c r="U847" i="3" s="1"/>
  <c r="D847" i="3"/>
  <c r="E847" i="3" s="1"/>
  <c r="J847" i="3" s="1"/>
  <c r="U846" i="3" s="1"/>
  <c r="D846" i="3"/>
  <c r="E846" i="3" s="1"/>
  <c r="J846" i="3" s="1"/>
  <c r="U845" i="3" s="1"/>
  <c r="D845" i="3"/>
  <c r="E845" i="3" s="1"/>
  <c r="J845" i="3" s="1"/>
  <c r="D840" i="3"/>
  <c r="E840" i="3" s="1"/>
  <c r="K827" i="3" s="1"/>
  <c r="U836" i="3" s="1"/>
  <c r="D839" i="3"/>
  <c r="E839" i="3" s="1"/>
  <c r="K826" i="3" s="1"/>
  <c r="U835" i="3" s="1"/>
  <c r="D838" i="3"/>
  <c r="E838" i="3" s="1"/>
  <c r="K825" i="3" s="1"/>
  <c r="U834" i="3" s="1"/>
  <c r="D837" i="3"/>
  <c r="E837" i="3" s="1"/>
  <c r="K824" i="3" s="1"/>
  <c r="U833" i="3" s="1"/>
  <c r="D836" i="3"/>
  <c r="E836" i="3" s="1"/>
  <c r="K823" i="3" s="1"/>
  <c r="U832" i="3" s="1"/>
  <c r="D835" i="3"/>
  <c r="E835" i="3" s="1"/>
  <c r="K822" i="3" s="1"/>
  <c r="U831" i="3" s="1"/>
  <c r="D834" i="3"/>
  <c r="E834" i="3" s="1"/>
  <c r="K821" i="3" s="1"/>
  <c r="U830" i="3" s="1"/>
  <c r="D833" i="3"/>
  <c r="E833" i="3" s="1"/>
  <c r="K820" i="3" s="1"/>
  <c r="U829" i="3" s="1"/>
  <c r="D832" i="3"/>
  <c r="E832" i="3" s="1"/>
  <c r="K819" i="3" s="1"/>
  <c r="U828" i="3" s="1"/>
  <c r="D831" i="3"/>
  <c r="E831" i="3" s="1"/>
  <c r="K818" i="3" s="1"/>
  <c r="E827" i="3"/>
  <c r="J827" i="3" s="1"/>
  <c r="U826" i="3" s="1"/>
  <c r="D827" i="3"/>
  <c r="D826" i="3"/>
  <c r="E826" i="3" s="1"/>
  <c r="J826" i="3" s="1"/>
  <c r="U825" i="3" s="1"/>
  <c r="D825" i="3"/>
  <c r="E825" i="3" s="1"/>
  <c r="J825" i="3" s="1"/>
  <c r="U824" i="3" s="1"/>
  <c r="D824" i="3"/>
  <c r="E824" i="3" s="1"/>
  <c r="J824" i="3" s="1"/>
  <c r="U823" i="3" s="1"/>
  <c r="D823" i="3"/>
  <c r="E823" i="3" s="1"/>
  <c r="J823" i="3" s="1"/>
  <c r="U822" i="3" s="1"/>
  <c r="D822" i="3"/>
  <c r="E822" i="3" s="1"/>
  <c r="J822" i="3" s="1"/>
  <c r="U821" i="3" s="1"/>
  <c r="D821" i="3"/>
  <c r="E821" i="3" s="1"/>
  <c r="J821" i="3" s="1"/>
  <c r="U820" i="3" s="1"/>
  <c r="D820" i="3"/>
  <c r="E820" i="3" s="1"/>
  <c r="J820" i="3" s="1"/>
  <c r="U819" i="3" s="1"/>
  <c r="D819" i="3"/>
  <c r="E819" i="3" s="1"/>
  <c r="J819" i="3" s="1"/>
  <c r="U818" i="3" s="1"/>
  <c r="D818" i="3"/>
  <c r="E818" i="3" s="1"/>
  <c r="J818" i="3" s="1"/>
  <c r="D813" i="3"/>
  <c r="E813" i="3" s="1"/>
  <c r="K800" i="3" s="1"/>
  <c r="U809" i="3" s="1"/>
  <c r="D812" i="3"/>
  <c r="E812" i="3" s="1"/>
  <c r="K799" i="3" s="1"/>
  <c r="U808" i="3" s="1"/>
  <c r="E811" i="3"/>
  <c r="K798" i="3" s="1"/>
  <c r="D811" i="3"/>
  <c r="D810" i="3"/>
  <c r="E810" i="3" s="1"/>
  <c r="K797" i="3" s="1"/>
  <c r="U806" i="3" s="1"/>
  <c r="D809" i="3"/>
  <c r="E809" i="3" s="1"/>
  <c r="K796" i="3" s="1"/>
  <c r="U805" i="3" s="1"/>
  <c r="D808" i="3"/>
  <c r="E808" i="3" s="1"/>
  <c r="K795" i="3" s="1"/>
  <c r="U804" i="3" s="1"/>
  <c r="U807" i="3"/>
  <c r="D807" i="3"/>
  <c r="E807" i="3" s="1"/>
  <c r="K794" i="3" s="1"/>
  <c r="U803" i="3" s="1"/>
  <c r="D806" i="3"/>
  <c r="E806" i="3" s="1"/>
  <c r="K793" i="3" s="1"/>
  <c r="U802" i="3" s="1"/>
  <c r="D805" i="3"/>
  <c r="E805" i="3" s="1"/>
  <c r="K792" i="3" s="1"/>
  <c r="U801" i="3" s="1"/>
  <c r="D804" i="3"/>
  <c r="E804" i="3" s="1"/>
  <c r="K791" i="3" s="1"/>
  <c r="D800" i="3"/>
  <c r="E800" i="3" s="1"/>
  <c r="J800" i="3" s="1"/>
  <c r="U799" i="3" s="1"/>
  <c r="D799" i="3"/>
  <c r="E799" i="3" s="1"/>
  <c r="J799" i="3" s="1"/>
  <c r="U798" i="3" s="1"/>
  <c r="E798" i="3"/>
  <c r="J798" i="3" s="1"/>
  <c r="U797" i="3" s="1"/>
  <c r="D798" i="3"/>
  <c r="D797" i="3"/>
  <c r="E797" i="3" s="1"/>
  <c r="J797" i="3" s="1"/>
  <c r="U796" i="3" s="1"/>
  <c r="D796" i="3"/>
  <c r="E796" i="3" s="1"/>
  <c r="J796" i="3" s="1"/>
  <c r="U795" i="3" s="1"/>
  <c r="D795" i="3"/>
  <c r="E795" i="3" s="1"/>
  <c r="J795" i="3" s="1"/>
  <c r="U794" i="3" s="1"/>
  <c r="D794" i="3"/>
  <c r="E794" i="3" s="1"/>
  <c r="J794" i="3" s="1"/>
  <c r="U793" i="3" s="1"/>
  <c r="D793" i="3"/>
  <c r="E793" i="3" s="1"/>
  <c r="J793" i="3" s="1"/>
  <c r="U792" i="3" s="1"/>
  <c r="D792" i="3"/>
  <c r="E792" i="3" s="1"/>
  <c r="J792" i="3" s="1"/>
  <c r="U791" i="3" s="1"/>
  <c r="D791" i="3"/>
  <c r="E791" i="3" s="1"/>
  <c r="J791" i="3" s="1"/>
  <c r="U790" i="3" s="1"/>
  <c r="D786" i="3"/>
  <c r="E786" i="3" s="1"/>
  <c r="K773" i="3" s="1"/>
  <c r="U782" i="3" s="1"/>
  <c r="D785" i="3"/>
  <c r="E785" i="3" s="1"/>
  <c r="K772" i="3" s="1"/>
  <c r="U781" i="3" s="1"/>
  <c r="D784" i="3"/>
  <c r="E784" i="3" s="1"/>
  <c r="K771" i="3" s="1"/>
  <c r="U780" i="3" s="1"/>
  <c r="D783" i="3"/>
  <c r="E783" i="3" s="1"/>
  <c r="K770" i="3" s="1"/>
  <c r="U779" i="3" s="1"/>
  <c r="D782" i="3"/>
  <c r="E782" i="3" s="1"/>
  <c r="K769" i="3" s="1"/>
  <c r="U778" i="3" s="1"/>
  <c r="D781" i="3"/>
  <c r="E781" i="3" s="1"/>
  <c r="K768" i="3" s="1"/>
  <c r="U777" i="3" s="1"/>
  <c r="D780" i="3"/>
  <c r="E780" i="3" s="1"/>
  <c r="K767" i="3" s="1"/>
  <c r="U776" i="3" s="1"/>
  <c r="D779" i="3"/>
  <c r="E779" i="3" s="1"/>
  <c r="K766" i="3" s="1"/>
  <c r="U775" i="3" s="1"/>
  <c r="D778" i="3"/>
  <c r="E778" i="3" s="1"/>
  <c r="K765" i="3" s="1"/>
  <c r="U774" i="3" s="1"/>
  <c r="D777" i="3"/>
  <c r="E777" i="3" s="1"/>
  <c r="K764" i="3" s="1"/>
  <c r="D773" i="3"/>
  <c r="E773" i="3" s="1"/>
  <c r="J773" i="3" s="1"/>
  <c r="U772" i="3" s="1"/>
  <c r="D772" i="3"/>
  <c r="E772" i="3" s="1"/>
  <c r="J772" i="3" s="1"/>
  <c r="U771" i="3" s="1"/>
  <c r="D771" i="3"/>
  <c r="E771" i="3" s="1"/>
  <c r="J771" i="3" s="1"/>
  <c r="U770" i="3" s="1"/>
  <c r="E770" i="3"/>
  <c r="J770" i="3" s="1"/>
  <c r="U769" i="3" s="1"/>
  <c r="D770" i="3"/>
  <c r="D769" i="3"/>
  <c r="E769" i="3" s="1"/>
  <c r="J769" i="3" s="1"/>
  <c r="U768" i="3" s="1"/>
  <c r="D768" i="3"/>
  <c r="E768" i="3" s="1"/>
  <c r="J768" i="3" s="1"/>
  <c r="U767" i="3" s="1"/>
  <c r="D767" i="3"/>
  <c r="E767" i="3" s="1"/>
  <c r="J767" i="3" s="1"/>
  <c r="U766" i="3" s="1"/>
  <c r="E766" i="3"/>
  <c r="J766" i="3" s="1"/>
  <c r="U765" i="3" s="1"/>
  <c r="D766" i="3"/>
  <c r="E765" i="3"/>
  <c r="J765" i="3" s="1"/>
  <c r="U764" i="3" s="1"/>
  <c r="D765" i="3"/>
  <c r="D764" i="3"/>
  <c r="E764" i="3" s="1"/>
  <c r="J764" i="3" s="1"/>
  <c r="E759" i="3"/>
  <c r="K746" i="3" s="1"/>
  <c r="U755" i="3" s="1"/>
  <c r="D759" i="3"/>
  <c r="D758" i="3"/>
  <c r="E758" i="3" s="1"/>
  <c r="K745" i="3" s="1"/>
  <c r="U754" i="3" s="1"/>
  <c r="D757" i="3"/>
  <c r="E757" i="3" s="1"/>
  <c r="K744" i="3" s="1"/>
  <c r="U753" i="3" s="1"/>
  <c r="D756" i="3"/>
  <c r="E756" i="3" s="1"/>
  <c r="K743" i="3" s="1"/>
  <c r="U752" i="3" s="1"/>
  <c r="D755" i="3"/>
  <c r="E755" i="3" s="1"/>
  <c r="K742" i="3" s="1"/>
  <c r="U751" i="3" s="1"/>
  <c r="D754" i="3"/>
  <c r="E754" i="3" s="1"/>
  <c r="K741" i="3" s="1"/>
  <c r="U750" i="3" s="1"/>
  <c r="D753" i="3"/>
  <c r="E753" i="3" s="1"/>
  <c r="K740" i="3" s="1"/>
  <c r="U749" i="3" s="1"/>
  <c r="D752" i="3"/>
  <c r="E752" i="3" s="1"/>
  <c r="K739" i="3" s="1"/>
  <c r="U748" i="3" s="1"/>
  <c r="D751" i="3"/>
  <c r="E751" i="3" s="1"/>
  <c r="K738" i="3" s="1"/>
  <c r="U747" i="3" s="1"/>
  <c r="D750" i="3"/>
  <c r="E750" i="3" s="1"/>
  <c r="K737" i="3" s="1"/>
  <c r="D746" i="3"/>
  <c r="E746" i="3" s="1"/>
  <c r="J746" i="3" s="1"/>
  <c r="U745" i="3" s="1"/>
  <c r="D745" i="3"/>
  <c r="E745" i="3" s="1"/>
  <c r="J745" i="3" s="1"/>
  <c r="U744" i="3" s="1"/>
  <c r="D744" i="3"/>
  <c r="E744" i="3" s="1"/>
  <c r="J744" i="3" s="1"/>
  <c r="U743" i="3" s="1"/>
  <c r="D743" i="3"/>
  <c r="E743" i="3" s="1"/>
  <c r="J743" i="3" s="1"/>
  <c r="U742" i="3" s="1"/>
  <c r="D742" i="3"/>
  <c r="E742" i="3" s="1"/>
  <c r="J742" i="3" s="1"/>
  <c r="U741" i="3" s="1"/>
  <c r="D741" i="3"/>
  <c r="E741" i="3" s="1"/>
  <c r="J741" i="3" s="1"/>
  <c r="U740" i="3" s="1"/>
  <c r="D740" i="3"/>
  <c r="E740" i="3" s="1"/>
  <c r="J740" i="3" s="1"/>
  <c r="U739" i="3" s="1"/>
  <c r="D739" i="3"/>
  <c r="E739" i="3" s="1"/>
  <c r="J739" i="3" s="1"/>
  <c r="U738" i="3" s="1"/>
  <c r="D738" i="3"/>
  <c r="E738" i="3" s="1"/>
  <c r="J738" i="3" s="1"/>
  <c r="U737" i="3" s="1"/>
  <c r="D737" i="3"/>
  <c r="E737" i="3" s="1"/>
  <c r="J737" i="3" s="1"/>
  <c r="U736" i="3" s="1"/>
  <c r="D732" i="3"/>
  <c r="E732" i="3" s="1"/>
  <c r="K719" i="3" s="1"/>
  <c r="U728" i="3" s="1"/>
  <c r="D731" i="3"/>
  <c r="E731" i="3" s="1"/>
  <c r="K718" i="3" s="1"/>
  <c r="U727" i="3" s="1"/>
  <c r="D730" i="3"/>
  <c r="E730" i="3" s="1"/>
  <c r="K717" i="3" s="1"/>
  <c r="U726" i="3" s="1"/>
  <c r="D729" i="3"/>
  <c r="E729" i="3" s="1"/>
  <c r="K716" i="3" s="1"/>
  <c r="U725" i="3" s="1"/>
  <c r="D728" i="3"/>
  <c r="E728" i="3" s="1"/>
  <c r="K715" i="3" s="1"/>
  <c r="U724" i="3" s="1"/>
  <c r="D727" i="3"/>
  <c r="E727" i="3" s="1"/>
  <c r="K714" i="3" s="1"/>
  <c r="U723" i="3" s="1"/>
  <c r="D726" i="3"/>
  <c r="E726" i="3" s="1"/>
  <c r="K713" i="3" s="1"/>
  <c r="U722" i="3" s="1"/>
  <c r="D725" i="3"/>
  <c r="E725" i="3" s="1"/>
  <c r="K712" i="3" s="1"/>
  <c r="U721" i="3" s="1"/>
  <c r="D724" i="3"/>
  <c r="E724" i="3" s="1"/>
  <c r="K711" i="3" s="1"/>
  <c r="U720" i="3" s="1"/>
  <c r="D723" i="3"/>
  <c r="E723" i="3" s="1"/>
  <c r="K710" i="3" s="1"/>
  <c r="U719" i="3" s="1"/>
  <c r="D719" i="3"/>
  <c r="E719" i="3" s="1"/>
  <c r="J719" i="3" s="1"/>
  <c r="U718" i="3" s="1"/>
  <c r="D718" i="3"/>
  <c r="E718" i="3" s="1"/>
  <c r="J718" i="3" s="1"/>
  <c r="U717" i="3" s="1"/>
  <c r="D717" i="3"/>
  <c r="E717" i="3" s="1"/>
  <c r="J717" i="3" s="1"/>
  <c r="U716" i="3" s="1"/>
  <c r="E716" i="3"/>
  <c r="J716" i="3" s="1"/>
  <c r="U715" i="3" s="1"/>
  <c r="D716" i="3"/>
  <c r="D715" i="3"/>
  <c r="E715" i="3" s="1"/>
  <c r="J715" i="3" s="1"/>
  <c r="U714" i="3" s="1"/>
  <c r="D714" i="3"/>
  <c r="E714" i="3" s="1"/>
  <c r="J714" i="3" s="1"/>
  <c r="U713" i="3" s="1"/>
  <c r="E713" i="3"/>
  <c r="J713" i="3" s="1"/>
  <c r="U712" i="3" s="1"/>
  <c r="D713" i="3"/>
  <c r="D712" i="3"/>
  <c r="E712" i="3" s="1"/>
  <c r="J712" i="3" s="1"/>
  <c r="U711" i="3" s="1"/>
  <c r="D711" i="3"/>
  <c r="E711" i="3" s="1"/>
  <c r="J711" i="3" s="1"/>
  <c r="U710" i="3" s="1"/>
  <c r="D710" i="3"/>
  <c r="E710" i="3" s="1"/>
  <c r="J710" i="3" s="1"/>
  <c r="D705" i="3"/>
  <c r="E705" i="3" s="1"/>
  <c r="D704" i="3"/>
  <c r="E704" i="3" s="1"/>
  <c r="K691" i="3" s="1"/>
  <c r="U700" i="3" s="1"/>
  <c r="D703" i="3"/>
  <c r="E703" i="3" s="1"/>
  <c r="K690" i="3" s="1"/>
  <c r="U699" i="3" s="1"/>
  <c r="D702" i="3"/>
  <c r="E702" i="3" s="1"/>
  <c r="K689" i="3" s="1"/>
  <c r="U698" i="3" s="1"/>
  <c r="D701" i="3"/>
  <c r="E701" i="3" s="1"/>
  <c r="K688" i="3" s="1"/>
  <c r="U697" i="3" s="1"/>
  <c r="D700" i="3"/>
  <c r="E700" i="3" s="1"/>
  <c r="K687" i="3" s="1"/>
  <c r="U696" i="3" s="1"/>
  <c r="D699" i="3"/>
  <c r="E699" i="3" s="1"/>
  <c r="K686" i="3" s="1"/>
  <c r="U695" i="3" s="1"/>
  <c r="D698" i="3"/>
  <c r="E698" i="3" s="1"/>
  <c r="K685" i="3" s="1"/>
  <c r="U694" i="3" s="1"/>
  <c r="D697" i="3"/>
  <c r="E697" i="3" s="1"/>
  <c r="K684" i="3" s="1"/>
  <c r="U693" i="3" s="1"/>
  <c r="D696" i="3"/>
  <c r="E696" i="3" s="1"/>
  <c r="K683" i="3" s="1"/>
  <c r="K692" i="3"/>
  <c r="U701" i="3" s="1"/>
  <c r="D692" i="3"/>
  <c r="E692" i="3" s="1"/>
  <c r="J692" i="3" s="1"/>
  <c r="U691" i="3" s="1"/>
  <c r="D691" i="3"/>
  <c r="E691" i="3" s="1"/>
  <c r="J691" i="3" s="1"/>
  <c r="U690" i="3" s="1"/>
  <c r="D690" i="3"/>
  <c r="E690" i="3" s="1"/>
  <c r="J690" i="3" s="1"/>
  <c r="U689" i="3" s="1"/>
  <c r="D689" i="3"/>
  <c r="E689" i="3" s="1"/>
  <c r="J689" i="3" s="1"/>
  <c r="U688" i="3" s="1"/>
  <c r="D688" i="3"/>
  <c r="E688" i="3" s="1"/>
  <c r="J688" i="3" s="1"/>
  <c r="U687" i="3" s="1"/>
  <c r="E687" i="3"/>
  <c r="J687" i="3" s="1"/>
  <c r="U686" i="3" s="1"/>
  <c r="D687" i="3"/>
  <c r="D686" i="3"/>
  <c r="E686" i="3" s="1"/>
  <c r="J686" i="3" s="1"/>
  <c r="U685" i="3" s="1"/>
  <c r="D685" i="3"/>
  <c r="E685" i="3" s="1"/>
  <c r="J685" i="3" s="1"/>
  <c r="U684" i="3" s="1"/>
  <c r="D684" i="3"/>
  <c r="E684" i="3" s="1"/>
  <c r="J684" i="3" s="1"/>
  <c r="U683" i="3" s="1"/>
  <c r="E683" i="3"/>
  <c r="J683" i="3" s="1"/>
  <c r="D683" i="3"/>
  <c r="D678" i="3"/>
  <c r="E678" i="3" s="1"/>
  <c r="K665" i="3" s="1"/>
  <c r="U674" i="3" s="1"/>
  <c r="D677" i="3"/>
  <c r="E677" i="3" s="1"/>
  <c r="K664" i="3" s="1"/>
  <c r="U673" i="3" s="1"/>
  <c r="D676" i="3"/>
  <c r="E676" i="3" s="1"/>
  <c r="K663" i="3" s="1"/>
  <c r="U672" i="3" s="1"/>
  <c r="D675" i="3"/>
  <c r="E675" i="3" s="1"/>
  <c r="K662" i="3" s="1"/>
  <c r="U671" i="3" s="1"/>
  <c r="D674" i="3"/>
  <c r="E674" i="3" s="1"/>
  <c r="K661" i="3" s="1"/>
  <c r="U670" i="3" s="1"/>
  <c r="D673" i="3"/>
  <c r="E673" i="3" s="1"/>
  <c r="D672" i="3"/>
  <c r="E672" i="3" s="1"/>
  <c r="K659" i="3" s="1"/>
  <c r="U668" i="3" s="1"/>
  <c r="D671" i="3"/>
  <c r="E671" i="3" s="1"/>
  <c r="K658" i="3" s="1"/>
  <c r="U667" i="3" s="1"/>
  <c r="D670" i="3"/>
  <c r="E670" i="3" s="1"/>
  <c r="K657" i="3" s="1"/>
  <c r="U666" i="3" s="1"/>
  <c r="D669" i="3"/>
  <c r="E669" i="3" s="1"/>
  <c r="K656" i="3" s="1"/>
  <c r="D665" i="3"/>
  <c r="E665" i="3" s="1"/>
  <c r="J665" i="3" s="1"/>
  <c r="U664" i="3" s="1"/>
  <c r="D664" i="3"/>
  <c r="E664" i="3" s="1"/>
  <c r="J664" i="3" s="1"/>
  <c r="U663" i="3" s="1"/>
  <c r="D663" i="3"/>
  <c r="E663" i="3" s="1"/>
  <c r="J663" i="3" s="1"/>
  <c r="U662" i="3" s="1"/>
  <c r="D662" i="3"/>
  <c r="E662" i="3" s="1"/>
  <c r="J662" i="3" s="1"/>
  <c r="U661" i="3" s="1"/>
  <c r="D661" i="3"/>
  <c r="E661" i="3" s="1"/>
  <c r="J661" i="3" s="1"/>
  <c r="U660" i="3" s="1"/>
  <c r="K660" i="3"/>
  <c r="U669" i="3" s="1"/>
  <c r="D660" i="3"/>
  <c r="E660" i="3" s="1"/>
  <c r="J660" i="3" s="1"/>
  <c r="U659" i="3" s="1"/>
  <c r="D659" i="3"/>
  <c r="E659" i="3" s="1"/>
  <c r="J659" i="3" s="1"/>
  <c r="U658" i="3" s="1"/>
  <c r="D658" i="3"/>
  <c r="E658" i="3" s="1"/>
  <c r="J658" i="3" s="1"/>
  <c r="U657" i="3" s="1"/>
  <c r="D657" i="3"/>
  <c r="E657" i="3" s="1"/>
  <c r="J657" i="3" s="1"/>
  <c r="U656" i="3" s="1"/>
  <c r="D656" i="3"/>
  <c r="E656" i="3" s="1"/>
  <c r="J656" i="3" s="1"/>
  <c r="D651" i="3"/>
  <c r="E651" i="3" s="1"/>
  <c r="K638" i="3" s="1"/>
  <c r="U647" i="3" s="1"/>
  <c r="D650" i="3"/>
  <c r="E650" i="3" s="1"/>
  <c r="K637" i="3" s="1"/>
  <c r="U646" i="3" s="1"/>
  <c r="D649" i="3"/>
  <c r="E649" i="3" s="1"/>
  <c r="K636" i="3" s="1"/>
  <c r="U645" i="3" s="1"/>
  <c r="D648" i="3"/>
  <c r="E648" i="3" s="1"/>
  <c r="K635" i="3" s="1"/>
  <c r="U644" i="3" s="1"/>
  <c r="D647" i="3"/>
  <c r="E647" i="3" s="1"/>
  <c r="K634" i="3" s="1"/>
  <c r="U643" i="3" s="1"/>
  <c r="D646" i="3"/>
  <c r="E646" i="3" s="1"/>
  <c r="K633" i="3" s="1"/>
  <c r="U642" i="3" s="1"/>
  <c r="D645" i="3"/>
  <c r="E645" i="3" s="1"/>
  <c r="K632" i="3" s="1"/>
  <c r="U641" i="3" s="1"/>
  <c r="D644" i="3"/>
  <c r="E644" i="3" s="1"/>
  <c r="K631" i="3" s="1"/>
  <c r="U640" i="3" s="1"/>
  <c r="D643" i="3"/>
  <c r="E643" i="3" s="1"/>
  <c r="K630" i="3" s="1"/>
  <c r="U639" i="3" s="1"/>
  <c r="D642" i="3"/>
  <c r="E642" i="3" s="1"/>
  <c r="K629" i="3" s="1"/>
  <c r="U638" i="3" s="1"/>
  <c r="E638" i="3"/>
  <c r="J638" i="3" s="1"/>
  <c r="D638" i="3"/>
  <c r="U637" i="3"/>
  <c r="D637" i="3"/>
  <c r="E637" i="3" s="1"/>
  <c r="J637" i="3" s="1"/>
  <c r="U636" i="3" s="1"/>
  <c r="D636" i="3"/>
  <c r="E636" i="3" s="1"/>
  <c r="J636" i="3" s="1"/>
  <c r="U635" i="3" s="1"/>
  <c r="D635" i="3"/>
  <c r="E635" i="3" s="1"/>
  <c r="J635" i="3" s="1"/>
  <c r="U634" i="3" s="1"/>
  <c r="D634" i="3"/>
  <c r="E634" i="3" s="1"/>
  <c r="J634" i="3" s="1"/>
  <c r="U633" i="3"/>
  <c r="D633" i="3"/>
  <c r="E633" i="3" s="1"/>
  <c r="J633" i="3" s="1"/>
  <c r="U632" i="3" s="1"/>
  <c r="D632" i="3"/>
  <c r="E632" i="3" s="1"/>
  <c r="J632" i="3" s="1"/>
  <c r="U631" i="3" s="1"/>
  <c r="D631" i="3"/>
  <c r="E631" i="3" s="1"/>
  <c r="J631" i="3" s="1"/>
  <c r="U630" i="3" s="1"/>
  <c r="D630" i="3"/>
  <c r="E630" i="3" s="1"/>
  <c r="J630" i="3" s="1"/>
  <c r="U629" i="3" s="1"/>
  <c r="D629" i="3"/>
  <c r="E629" i="3" s="1"/>
  <c r="J629" i="3" s="1"/>
  <c r="E624" i="3"/>
  <c r="K611" i="3" s="1"/>
  <c r="U620" i="3" s="1"/>
  <c r="D624" i="3"/>
  <c r="D623" i="3"/>
  <c r="E623" i="3" s="1"/>
  <c r="K610" i="3" s="1"/>
  <c r="U619" i="3" s="1"/>
  <c r="D622" i="3"/>
  <c r="E622" i="3" s="1"/>
  <c r="K609" i="3" s="1"/>
  <c r="U618" i="3" s="1"/>
  <c r="D621" i="3"/>
  <c r="E621" i="3" s="1"/>
  <c r="K608" i="3" s="1"/>
  <c r="U617" i="3" s="1"/>
  <c r="D620" i="3"/>
  <c r="E620" i="3" s="1"/>
  <c r="K607" i="3" s="1"/>
  <c r="U616" i="3" s="1"/>
  <c r="D619" i="3"/>
  <c r="E619" i="3" s="1"/>
  <c r="K606" i="3" s="1"/>
  <c r="U615" i="3" s="1"/>
  <c r="D618" i="3"/>
  <c r="E618" i="3" s="1"/>
  <c r="K605" i="3" s="1"/>
  <c r="U614" i="3" s="1"/>
  <c r="D617" i="3"/>
  <c r="E617" i="3" s="1"/>
  <c r="K604" i="3" s="1"/>
  <c r="U613" i="3" s="1"/>
  <c r="D616" i="3"/>
  <c r="E616" i="3" s="1"/>
  <c r="K603" i="3" s="1"/>
  <c r="U612" i="3" s="1"/>
  <c r="E615" i="3"/>
  <c r="K602" i="3" s="1"/>
  <c r="D615" i="3"/>
  <c r="D611" i="3"/>
  <c r="E611" i="3" s="1"/>
  <c r="J611" i="3" s="1"/>
  <c r="U610" i="3" s="1"/>
  <c r="D610" i="3"/>
  <c r="E610" i="3" s="1"/>
  <c r="J610" i="3" s="1"/>
  <c r="U609" i="3" s="1"/>
  <c r="D609" i="3"/>
  <c r="E609" i="3" s="1"/>
  <c r="J609" i="3" s="1"/>
  <c r="U608" i="3" s="1"/>
  <c r="E608" i="3"/>
  <c r="J608" i="3" s="1"/>
  <c r="U607" i="3" s="1"/>
  <c r="D608" i="3"/>
  <c r="D607" i="3"/>
  <c r="E607" i="3" s="1"/>
  <c r="J607" i="3" s="1"/>
  <c r="U606" i="3" s="1"/>
  <c r="D606" i="3"/>
  <c r="E606" i="3" s="1"/>
  <c r="J606" i="3" s="1"/>
  <c r="U605" i="3"/>
  <c r="D605" i="3"/>
  <c r="E605" i="3" s="1"/>
  <c r="J605" i="3" s="1"/>
  <c r="U604" i="3" s="1"/>
  <c r="D604" i="3"/>
  <c r="E604" i="3" s="1"/>
  <c r="J604" i="3" s="1"/>
  <c r="U603" i="3" s="1"/>
  <c r="D603" i="3"/>
  <c r="E603" i="3" s="1"/>
  <c r="J603" i="3" s="1"/>
  <c r="U602" i="3" s="1"/>
  <c r="D602" i="3"/>
  <c r="E602" i="3" s="1"/>
  <c r="J602" i="3" s="1"/>
  <c r="D597" i="3"/>
  <c r="E597" i="3" s="1"/>
  <c r="K584" i="3" s="1"/>
  <c r="U593" i="3" s="1"/>
  <c r="D596" i="3"/>
  <c r="E596" i="3" s="1"/>
  <c r="K583" i="3" s="1"/>
  <c r="U592" i="3" s="1"/>
  <c r="D595" i="3"/>
  <c r="E595" i="3" s="1"/>
  <c r="K582" i="3" s="1"/>
  <c r="U591" i="3" s="1"/>
  <c r="D594" i="3"/>
  <c r="E594" i="3" s="1"/>
  <c r="K581" i="3" s="1"/>
  <c r="U590" i="3" s="1"/>
  <c r="D593" i="3"/>
  <c r="E593" i="3" s="1"/>
  <c r="K580" i="3" s="1"/>
  <c r="U589" i="3" s="1"/>
  <c r="D592" i="3"/>
  <c r="E592" i="3" s="1"/>
  <c r="K579" i="3" s="1"/>
  <c r="U588" i="3" s="1"/>
  <c r="D591" i="3"/>
  <c r="E591" i="3" s="1"/>
  <c r="K578" i="3" s="1"/>
  <c r="D590" i="3"/>
  <c r="E590" i="3" s="1"/>
  <c r="K577" i="3" s="1"/>
  <c r="U586" i="3" s="1"/>
  <c r="D589" i="3"/>
  <c r="E589" i="3" s="1"/>
  <c r="K576" i="3" s="1"/>
  <c r="U585" i="3" s="1"/>
  <c r="D588" i="3"/>
  <c r="E588" i="3" s="1"/>
  <c r="K575" i="3" s="1"/>
  <c r="U584" i="3" s="1"/>
  <c r="U587" i="3"/>
  <c r="D584" i="3"/>
  <c r="E584" i="3" s="1"/>
  <c r="J584" i="3" s="1"/>
  <c r="U583" i="3" s="1"/>
  <c r="D583" i="3"/>
  <c r="E583" i="3" s="1"/>
  <c r="J583" i="3" s="1"/>
  <c r="U582" i="3"/>
  <c r="D582" i="3"/>
  <c r="E582" i="3" s="1"/>
  <c r="J582" i="3" s="1"/>
  <c r="U581" i="3" s="1"/>
  <c r="D581" i="3"/>
  <c r="E581" i="3" s="1"/>
  <c r="J581" i="3" s="1"/>
  <c r="U580" i="3" s="1"/>
  <c r="D580" i="3"/>
  <c r="E580" i="3" s="1"/>
  <c r="J580" i="3" s="1"/>
  <c r="U579" i="3" s="1"/>
  <c r="D579" i="3"/>
  <c r="E579" i="3" s="1"/>
  <c r="J579" i="3" s="1"/>
  <c r="U578" i="3" s="1"/>
  <c r="D578" i="3"/>
  <c r="E578" i="3" s="1"/>
  <c r="J578" i="3" s="1"/>
  <c r="U577" i="3" s="1"/>
  <c r="D577" i="3"/>
  <c r="E577" i="3" s="1"/>
  <c r="J577" i="3" s="1"/>
  <c r="U576" i="3" s="1"/>
  <c r="D576" i="3"/>
  <c r="E576" i="3" s="1"/>
  <c r="J576" i="3" s="1"/>
  <c r="U575" i="3" s="1"/>
  <c r="D575" i="3"/>
  <c r="E575" i="3" s="1"/>
  <c r="J575" i="3" s="1"/>
  <c r="D570" i="3"/>
  <c r="E570" i="3" s="1"/>
  <c r="K557" i="3" s="1"/>
  <c r="U566" i="3" s="1"/>
  <c r="D569" i="3"/>
  <c r="E569" i="3" s="1"/>
  <c r="K556" i="3" s="1"/>
  <c r="U565" i="3" s="1"/>
  <c r="D568" i="3"/>
  <c r="E568" i="3" s="1"/>
  <c r="K555" i="3" s="1"/>
  <c r="U564" i="3" s="1"/>
  <c r="D567" i="3"/>
  <c r="E567" i="3" s="1"/>
  <c r="K554" i="3" s="1"/>
  <c r="U563" i="3" s="1"/>
  <c r="D566" i="3"/>
  <c r="E566" i="3" s="1"/>
  <c r="K553" i="3" s="1"/>
  <c r="U562" i="3" s="1"/>
  <c r="D565" i="3"/>
  <c r="E565" i="3" s="1"/>
  <c r="K552" i="3" s="1"/>
  <c r="U561" i="3" s="1"/>
  <c r="D564" i="3"/>
  <c r="E564" i="3" s="1"/>
  <c r="K551" i="3" s="1"/>
  <c r="U560" i="3" s="1"/>
  <c r="D563" i="3"/>
  <c r="E563" i="3" s="1"/>
  <c r="K550" i="3" s="1"/>
  <c r="U559" i="3" s="1"/>
  <c r="D562" i="3"/>
  <c r="E562" i="3" s="1"/>
  <c r="K549" i="3" s="1"/>
  <c r="U558" i="3" s="1"/>
  <c r="D561" i="3"/>
  <c r="E561" i="3" s="1"/>
  <c r="K548" i="3" s="1"/>
  <c r="D557" i="3"/>
  <c r="E557" i="3" s="1"/>
  <c r="J557" i="3" s="1"/>
  <c r="U556" i="3" s="1"/>
  <c r="D556" i="3"/>
  <c r="E556" i="3" s="1"/>
  <c r="J556" i="3" s="1"/>
  <c r="U555" i="3" s="1"/>
  <c r="D555" i="3"/>
  <c r="E555" i="3" s="1"/>
  <c r="J555" i="3" s="1"/>
  <c r="U554" i="3" s="1"/>
  <c r="D554" i="3"/>
  <c r="E554" i="3" s="1"/>
  <c r="J554" i="3" s="1"/>
  <c r="U553" i="3" s="1"/>
  <c r="D553" i="3"/>
  <c r="E553" i="3" s="1"/>
  <c r="J553" i="3" s="1"/>
  <c r="U552" i="3" s="1"/>
  <c r="D552" i="3"/>
  <c r="E552" i="3" s="1"/>
  <c r="J552" i="3" s="1"/>
  <c r="U551" i="3" s="1"/>
  <c r="D551" i="3"/>
  <c r="E551" i="3" s="1"/>
  <c r="J551" i="3" s="1"/>
  <c r="U550" i="3" s="1"/>
  <c r="J550" i="3"/>
  <c r="U549" i="3" s="1"/>
  <c r="D550" i="3"/>
  <c r="E550" i="3" s="1"/>
  <c r="D549" i="3"/>
  <c r="E549" i="3" s="1"/>
  <c r="J549" i="3" s="1"/>
  <c r="U548" i="3" s="1"/>
  <c r="D548" i="3"/>
  <c r="E548" i="3" s="1"/>
  <c r="J548" i="3" s="1"/>
  <c r="D539" i="3"/>
  <c r="E539" i="3" s="1"/>
  <c r="K526" i="3" s="1"/>
  <c r="U535" i="3" s="1"/>
  <c r="D538" i="3"/>
  <c r="E538" i="3" s="1"/>
  <c r="K525" i="3" s="1"/>
  <c r="U534" i="3" s="1"/>
  <c r="D537" i="3"/>
  <c r="E537" i="3" s="1"/>
  <c r="K524" i="3" s="1"/>
  <c r="U533" i="3" s="1"/>
  <c r="D536" i="3"/>
  <c r="E536" i="3" s="1"/>
  <c r="K523" i="3" s="1"/>
  <c r="U532" i="3" s="1"/>
  <c r="D535" i="3"/>
  <c r="E535" i="3" s="1"/>
  <c r="K522" i="3" s="1"/>
  <c r="U531" i="3" s="1"/>
  <c r="D534" i="3"/>
  <c r="E534" i="3" s="1"/>
  <c r="K521" i="3" s="1"/>
  <c r="U530" i="3" s="1"/>
  <c r="D533" i="3"/>
  <c r="E533" i="3" s="1"/>
  <c r="K520" i="3" s="1"/>
  <c r="U529" i="3" s="1"/>
  <c r="D532" i="3"/>
  <c r="E532" i="3" s="1"/>
  <c r="K519" i="3" s="1"/>
  <c r="U528" i="3" s="1"/>
  <c r="D531" i="3"/>
  <c r="E531" i="3" s="1"/>
  <c r="K518" i="3" s="1"/>
  <c r="U527" i="3" s="1"/>
  <c r="D530" i="3"/>
  <c r="E530" i="3" s="1"/>
  <c r="K517" i="3" s="1"/>
  <c r="D526" i="3"/>
  <c r="E526" i="3" s="1"/>
  <c r="J526" i="3" s="1"/>
  <c r="U525" i="3" s="1"/>
  <c r="D525" i="3"/>
  <c r="E525" i="3" s="1"/>
  <c r="J525" i="3" s="1"/>
  <c r="U524" i="3" s="1"/>
  <c r="D524" i="3"/>
  <c r="E524" i="3" s="1"/>
  <c r="J524" i="3" s="1"/>
  <c r="U523" i="3" s="1"/>
  <c r="D523" i="3"/>
  <c r="E523" i="3" s="1"/>
  <c r="J523" i="3" s="1"/>
  <c r="U522" i="3" s="1"/>
  <c r="D522" i="3"/>
  <c r="E522" i="3" s="1"/>
  <c r="J522" i="3" s="1"/>
  <c r="U521" i="3" s="1"/>
  <c r="D521" i="3"/>
  <c r="E521" i="3" s="1"/>
  <c r="J521" i="3" s="1"/>
  <c r="U520" i="3" s="1"/>
  <c r="D520" i="3"/>
  <c r="E520" i="3" s="1"/>
  <c r="J520" i="3" s="1"/>
  <c r="U519" i="3" s="1"/>
  <c r="D519" i="3"/>
  <c r="E519" i="3" s="1"/>
  <c r="J519" i="3" s="1"/>
  <c r="U518" i="3"/>
  <c r="D518" i="3"/>
  <c r="E518" i="3" s="1"/>
  <c r="J518" i="3" s="1"/>
  <c r="U517" i="3" s="1"/>
  <c r="D517" i="3"/>
  <c r="E517" i="3" s="1"/>
  <c r="J517" i="3" s="1"/>
  <c r="U516" i="3" s="1"/>
  <c r="D512" i="3"/>
  <c r="E512" i="3" s="1"/>
  <c r="K499" i="3" s="1"/>
  <c r="U508" i="3" s="1"/>
  <c r="D511" i="3"/>
  <c r="E511" i="3" s="1"/>
  <c r="K498" i="3" s="1"/>
  <c r="U507" i="3" s="1"/>
  <c r="D510" i="3"/>
  <c r="E510" i="3" s="1"/>
  <c r="K497" i="3" s="1"/>
  <c r="U506" i="3" s="1"/>
  <c r="D509" i="3"/>
  <c r="E509" i="3" s="1"/>
  <c r="K496" i="3" s="1"/>
  <c r="U505" i="3" s="1"/>
  <c r="D508" i="3"/>
  <c r="E508" i="3" s="1"/>
  <c r="K495" i="3" s="1"/>
  <c r="U504" i="3" s="1"/>
  <c r="D507" i="3"/>
  <c r="E507" i="3" s="1"/>
  <c r="K494" i="3" s="1"/>
  <c r="U503" i="3" s="1"/>
  <c r="D506" i="3"/>
  <c r="E506" i="3" s="1"/>
  <c r="K493" i="3" s="1"/>
  <c r="U502" i="3" s="1"/>
  <c r="D505" i="3"/>
  <c r="E505" i="3" s="1"/>
  <c r="K492" i="3" s="1"/>
  <c r="U501" i="3" s="1"/>
  <c r="D504" i="3"/>
  <c r="E504" i="3" s="1"/>
  <c r="K491" i="3" s="1"/>
  <c r="U500" i="3" s="1"/>
  <c r="D503" i="3"/>
  <c r="E503" i="3" s="1"/>
  <c r="K490" i="3" s="1"/>
  <c r="D499" i="3"/>
  <c r="E499" i="3" s="1"/>
  <c r="J499" i="3" s="1"/>
  <c r="U498" i="3" s="1"/>
  <c r="D498" i="3"/>
  <c r="E498" i="3" s="1"/>
  <c r="J498" i="3" s="1"/>
  <c r="U497" i="3" s="1"/>
  <c r="D497" i="3"/>
  <c r="E497" i="3" s="1"/>
  <c r="J497" i="3" s="1"/>
  <c r="U496" i="3" s="1"/>
  <c r="D496" i="3"/>
  <c r="E496" i="3" s="1"/>
  <c r="J496" i="3" s="1"/>
  <c r="U495" i="3" s="1"/>
  <c r="D495" i="3"/>
  <c r="E495" i="3" s="1"/>
  <c r="J495" i="3" s="1"/>
  <c r="U494" i="3" s="1"/>
  <c r="D494" i="3"/>
  <c r="E494" i="3" s="1"/>
  <c r="J494" i="3" s="1"/>
  <c r="U493" i="3" s="1"/>
  <c r="D493" i="3"/>
  <c r="E493" i="3" s="1"/>
  <c r="J493" i="3" s="1"/>
  <c r="U492" i="3" s="1"/>
  <c r="D492" i="3"/>
  <c r="E492" i="3" s="1"/>
  <c r="J492" i="3" s="1"/>
  <c r="U491" i="3" s="1"/>
  <c r="D491" i="3"/>
  <c r="E491" i="3" s="1"/>
  <c r="J491" i="3" s="1"/>
  <c r="U490" i="3" s="1"/>
  <c r="D490" i="3"/>
  <c r="E490" i="3" s="1"/>
  <c r="J490" i="3" s="1"/>
  <c r="D485" i="3"/>
  <c r="E485" i="3" s="1"/>
  <c r="K472" i="3" s="1"/>
  <c r="U481" i="3" s="1"/>
  <c r="E484" i="3"/>
  <c r="K471" i="3" s="1"/>
  <c r="U480" i="3" s="1"/>
  <c r="D484" i="3"/>
  <c r="D483" i="3"/>
  <c r="E483" i="3" s="1"/>
  <c r="K470" i="3" s="1"/>
  <c r="U479" i="3" s="1"/>
  <c r="D482" i="3"/>
  <c r="E482" i="3" s="1"/>
  <c r="K469" i="3" s="1"/>
  <c r="U478" i="3" s="1"/>
  <c r="D481" i="3"/>
  <c r="E481" i="3" s="1"/>
  <c r="K468" i="3" s="1"/>
  <c r="U477" i="3" s="1"/>
  <c r="D480" i="3"/>
  <c r="E480" i="3" s="1"/>
  <c r="K467" i="3" s="1"/>
  <c r="U476" i="3" s="1"/>
  <c r="D479" i="3"/>
  <c r="E479" i="3" s="1"/>
  <c r="K466" i="3" s="1"/>
  <c r="U475" i="3" s="1"/>
  <c r="D478" i="3"/>
  <c r="E478" i="3" s="1"/>
  <c r="K465" i="3" s="1"/>
  <c r="U474" i="3" s="1"/>
  <c r="D477" i="3"/>
  <c r="E477" i="3" s="1"/>
  <c r="K464" i="3" s="1"/>
  <c r="U473" i="3" s="1"/>
  <c r="D476" i="3"/>
  <c r="E476" i="3" s="1"/>
  <c r="K463" i="3" s="1"/>
  <c r="D472" i="3"/>
  <c r="E472" i="3" s="1"/>
  <c r="J472" i="3" s="1"/>
  <c r="U471" i="3" s="1"/>
  <c r="D471" i="3"/>
  <c r="E471" i="3" s="1"/>
  <c r="J471" i="3" s="1"/>
  <c r="U470" i="3" s="1"/>
  <c r="D470" i="3"/>
  <c r="E470" i="3" s="1"/>
  <c r="J470" i="3" s="1"/>
  <c r="U469" i="3" s="1"/>
  <c r="D469" i="3"/>
  <c r="E469" i="3" s="1"/>
  <c r="J469" i="3" s="1"/>
  <c r="U468" i="3" s="1"/>
  <c r="D468" i="3"/>
  <c r="E468" i="3" s="1"/>
  <c r="J468" i="3" s="1"/>
  <c r="U467" i="3" s="1"/>
  <c r="D467" i="3"/>
  <c r="E467" i="3" s="1"/>
  <c r="J467" i="3" s="1"/>
  <c r="U466" i="3" s="1"/>
  <c r="D466" i="3"/>
  <c r="E466" i="3" s="1"/>
  <c r="J466" i="3" s="1"/>
  <c r="U465" i="3" s="1"/>
  <c r="D465" i="3"/>
  <c r="E465" i="3" s="1"/>
  <c r="J465" i="3" s="1"/>
  <c r="U464" i="3" s="1"/>
  <c r="D464" i="3"/>
  <c r="E464" i="3" s="1"/>
  <c r="J464" i="3" s="1"/>
  <c r="D463" i="3"/>
  <c r="E463" i="3" s="1"/>
  <c r="J463" i="3" s="1"/>
  <c r="U462" i="3" s="1"/>
  <c r="D458" i="3"/>
  <c r="E458" i="3" s="1"/>
  <c r="K445" i="3" s="1"/>
  <c r="U454" i="3" s="1"/>
  <c r="D457" i="3"/>
  <c r="E457" i="3" s="1"/>
  <c r="K444" i="3" s="1"/>
  <c r="U453" i="3" s="1"/>
  <c r="E456" i="3"/>
  <c r="K443" i="3" s="1"/>
  <c r="U452" i="3" s="1"/>
  <c r="D456" i="3"/>
  <c r="D455" i="3"/>
  <c r="E455" i="3" s="1"/>
  <c r="K442" i="3" s="1"/>
  <c r="U451" i="3" s="1"/>
  <c r="D454" i="3"/>
  <c r="E454" i="3" s="1"/>
  <c r="K441" i="3" s="1"/>
  <c r="U450" i="3" s="1"/>
  <c r="D453" i="3"/>
  <c r="E453" i="3" s="1"/>
  <c r="K440" i="3" s="1"/>
  <c r="U449" i="3" s="1"/>
  <c r="D452" i="3"/>
  <c r="E452" i="3" s="1"/>
  <c r="K439" i="3" s="1"/>
  <c r="U448" i="3" s="1"/>
  <c r="D451" i="3"/>
  <c r="E451" i="3" s="1"/>
  <c r="K438" i="3" s="1"/>
  <c r="U447" i="3" s="1"/>
  <c r="D450" i="3"/>
  <c r="E450" i="3" s="1"/>
  <c r="K437" i="3" s="1"/>
  <c r="U446" i="3" s="1"/>
  <c r="D449" i="3"/>
  <c r="E449" i="3" s="1"/>
  <c r="K436" i="3" s="1"/>
  <c r="U445" i="3" s="1"/>
  <c r="D445" i="3"/>
  <c r="E445" i="3" s="1"/>
  <c r="J445" i="3" s="1"/>
  <c r="U444" i="3" s="1"/>
  <c r="D444" i="3"/>
  <c r="E444" i="3" s="1"/>
  <c r="J444" i="3" s="1"/>
  <c r="U443" i="3" s="1"/>
  <c r="D443" i="3"/>
  <c r="E443" i="3" s="1"/>
  <c r="J443" i="3" s="1"/>
  <c r="U442" i="3" s="1"/>
  <c r="D442" i="3"/>
  <c r="E442" i="3" s="1"/>
  <c r="J442" i="3" s="1"/>
  <c r="U441" i="3" s="1"/>
  <c r="D441" i="3"/>
  <c r="E441" i="3" s="1"/>
  <c r="J441" i="3" s="1"/>
  <c r="U440" i="3" s="1"/>
  <c r="D440" i="3"/>
  <c r="E440" i="3" s="1"/>
  <c r="J440" i="3" s="1"/>
  <c r="U439" i="3" s="1"/>
  <c r="D439" i="3"/>
  <c r="E439" i="3" s="1"/>
  <c r="J439" i="3" s="1"/>
  <c r="U438" i="3" s="1"/>
  <c r="D438" i="3"/>
  <c r="E438" i="3" s="1"/>
  <c r="J438" i="3" s="1"/>
  <c r="U437" i="3" s="1"/>
  <c r="D437" i="3"/>
  <c r="E437" i="3" s="1"/>
  <c r="J437" i="3" s="1"/>
  <c r="U436" i="3" s="1"/>
  <c r="D436" i="3"/>
  <c r="E436" i="3" s="1"/>
  <c r="J436" i="3" s="1"/>
  <c r="D431" i="3"/>
  <c r="E431" i="3" s="1"/>
  <c r="K418" i="3" s="1"/>
  <c r="U427" i="3" s="1"/>
  <c r="D430" i="3"/>
  <c r="E430" i="3" s="1"/>
  <c r="K417" i="3" s="1"/>
  <c r="U426" i="3" s="1"/>
  <c r="D429" i="3"/>
  <c r="E429" i="3" s="1"/>
  <c r="K416" i="3" s="1"/>
  <c r="U425" i="3" s="1"/>
  <c r="D428" i="3"/>
  <c r="E428" i="3" s="1"/>
  <c r="K415" i="3" s="1"/>
  <c r="U424" i="3" s="1"/>
  <c r="D427" i="3"/>
  <c r="E427" i="3" s="1"/>
  <c r="K414" i="3" s="1"/>
  <c r="U423" i="3" s="1"/>
  <c r="D426" i="3"/>
  <c r="E426" i="3" s="1"/>
  <c r="K413" i="3" s="1"/>
  <c r="U422" i="3" s="1"/>
  <c r="D425" i="3"/>
  <c r="E425" i="3" s="1"/>
  <c r="K412" i="3" s="1"/>
  <c r="U421" i="3" s="1"/>
  <c r="D424" i="3"/>
  <c r="E424" i="3" s="1"/>
  <c r="K411" i="3" s="1"/>
  <c r="U420" i="3" s="1"/>
  <c r="D423" i="3"/>
  <c r="E423" i="3" s="1"/>
  <c r="D422" i="3"/>
  <c r="E422" i="3" s="1"/>
  <c r="K409" i="3" s="1"/>
  <c r="U418" i="3" s="1"/>
  <c r="D418" i="3"/>
  <c r="E418" i="3" s="1"/>
  <c r="J418" i="3" s="1"/>
  <c r="U417" i="3" s="1"/>
  <c r="D417" i="3"/>
  <c r="E417" i="3" s="1"/>
  <c r="J417" i="3" s="1"/>
  <c r="U416" i="3" s="1"/>
  <c r="D416" i="3"/>
  <c r="E416" i="3" s="1"/>
  <c r="J416" i="3" s="1"/>
  <c r="U415" i="3" s="1"/>
  <c r="D415" i="3"/>
  <c r="E415" i="3" s="1"/>
  <c r="J415" i="3" s="1"/>
  <c r="U414" i="3" s="1"/>
  <c r="D414" i="3"/>
  <c r="E414" i="3" s="1"/>
  <c r="J414" i="3" s="1"/>
  <c r="U413" i="3" s="1"/>
  <c r="D413" i="3"/>
  <c r="E413" i="3" s="1"/>
  <c r="J413" i="3" s="1"/>
  <c r="U412" i="3" s="1"/>
  <c r="D412" i="3"/>
  <c r="E412" i="3" s="1"/>
  <c r="J412" i="3" s="1"/>
  <c r="U411" i="3" s="1"/>
  <c r="D411" i="3"/>
  <c r="E411" i="3" s="1"/>
  <c r="J411" i="3" s="1"/>
  <c r="U410" i="3" s="1"/>
  <c r="K410" i="3"/>
  <c r="U419" i="3" s="1"/>
  <c r="J410" i="3"/>
  <c r="U409" i="3" s="1"/>
  <c r="D410" i="3"/>
  <c r="E410" i="3" s="1"/>
  <c r="D409" i="3"/>
  <c r="E409" i="3" s="1"/>
  <c r="J409" i="3" s="1"/>
  <c r="U408" i="3" s="1"/>
  <c r="D404" i="3"/>
  <c r="E404" i="3" s="1"/>
  <c r="K391" i="3" s="1"/>
  <c r="U400" i="3" s="1"/>
  <c r="D403" i="3"/>
  <c r="E403" i="3" s="1"/>
  <c r="K390" i="3" s="1"/>
  <c r="U399" i="3" s="1"/>
  <c r="D402" i="3"/>
  <c r="E402" i="3" s="1"/>
  <c r="K389" i="3" s="1"/>
  <c r="U398" i="3" s="1"/>
  <c r="D401" i="3"/>
  <c r="E401" i="3" s="1"/>
  <c r="K388" i="3" s="1"/>
  <c r="U397" i="3" s="1"/>
  <c r="D400" i="3"/>
  <c r="E400" i="3" s="1"/>
  <c r="K387" i="3" s="1"/>
  <c r="U396" i="3" s="1"/>
  <c r="D399" i="3"/>
  <c r="E399" i="3" s="1"/>
  <c r="K386" i="3" s="1"/>
  <c r="U395" i="3" s="1"/>
  <c r="D398" i="3"/>
  <c r="E398" i="3" s="1"/>
  <c r="K385" i="3" s="1"/>
  <c r="U394" i="3" s="1"/>
  <c r="D397" i="3"/>
  <c r="E397" i="3" s="1"/>
  <c r="K384" i="3" s="1"/>
  <c r="U393" i="3" s="1"/>
  <c r="D396" i="3"/>
  <c r="E396" i="3" s="1"/>
  <c r="K383" i="3" s="1"/>
  <c r="U392" i="3" s="1"/>
  <c r="D395" i="3"/>
  <c r="E395" i="3" s="1"/>
  <c r="K382" i="3" s="1"/>
  <c r="D391" i="3"/>
  <c r="E391" i="3" s="1"/>
  <c r="J391" i="3" s="1"/>
  <c r="U390" i="3" s="1"/>
  <c r="D390" i="3"/>
  <c r="E390" i="3" s="1"/>
  <c r="J390" i="3" s="1"/>
  <c r="U389" i="3" s="1"/>
  <c r="D389" i="3"/>
  <c r="E389" i="3" s="1"/>
  <c r="J389" i="3" s="1"/>
  <c r="U388" i="3" s="1"/>
  <c r="D388" i="3"/>
  <c r="E388" i="3" s="1"/>
  <c r="J388" i="3" s="1"/>
  <c r="U387" i="3" s="1"/>
  <c r="D387" i="3"/>
  <c r="E387" i="3" s="1"/>
  <c r="J387" i="3" s="1"/>
  <c r="U386" i="3" s="1"/>
  <c r="D386" i="3"/>
  <c r="E386" i="3" s="1"/>
  <c r="J386" i="3" s="1"/>
  <c r="U385" i="3" s="1"/>
  <c r="D385" i="3"/>
  <c r="E385" i="3" s="1"/>
  <c r="J385" i="3" s="1"/>
  <c r="U384" i="3" s="1"/>
  <c r="D384" i="3"/>
  <c r="E384" i="3" s="1"/>
  <c r="J384" i="3" s="1"/>
  <c r="U383" i="3"/>
  <c r="D383" i="3"/>
  <c r="E383" i="3" s="1"/>
  <c r="J383" i="3" s="1"/>
  <c r="U382" i="3" s="1"/>
  <c r="D382" i="3"/>
  <c r="E382" i="3" s="1"/>
  <c r="J382" i="3" s="1"/>
  <c r="D377" i="3"/>
  <c r="E377" i="3" s="1"/>
  <c r="K364" i="3" s="1"/>
  <c r="U373" i="3" s="1"/>
  <c r="D376" i="3"/>
  <c r="E376" i="3" s="1"/>
  <c r="K363" i="3" s="1"/>
  <c r="U372" i="3" s="1"/>
  <c r="D375" i="3"/>
  <c r="E375" i="3" s="1"/>
  <c r="K362" i="3" s="1"/>
  <c r="U371" i="3" s="1"/>
  <c r="D374" i="3"/>
  <c r="E374" i="3" s="1"/>
  <c r="K361" i="3" s="1"/>
  <c r="U370" i="3" s="1"/>
  <c r="D373" i="3"/>
  <c r="E373" i="3" s="1"/>
  <c r="K360" i="3" s="1"/>
  <c r="U369" i="3" s="1"/>
  <c r="D372" i="3"/>
  <c r="E372" i="3" s="1"/>
  <c r="K359" i="3" s="1"/>
  <c r="U368" i="3" s="1"/>
  <c r="E371" i="3"/>
  <c r="K358" i="3" s="1"/>
  <c r="U367" i="3" s="1"/>
  <c r="D371" i="3"/>
  <c r="D370" i="3"/>
  <c r="E370" i="3" s="1"/>
  <c r="K357" i="3" s="1"/>
  <c r="U366" i="3" s="1"/>
  <c r="D369" i="3"/>
  <c r="E369" i="3" s="1"/>
  <c r="K356" i="3" s="1"/>
  <c r="D368" i="3"/>
  <c r="E368" i="3" s="1"/>
  <c r="K355" i="3" s="1"/>
  <c r="U364" i="3" s="1"/>
  <c r="D364" i="3"/>
  <c r="E364" i="3" s="1"/>
  <c r="J364" i="3" s="1"/>
  <c r="U363" i="3" s="1"/>
  <c r="D363" i="3"/>
  <c r="E363" i="3" s="1"/>
  <c r="J363" i="3" s="1"/>
  <c r="U362" i="3" s="1"/>
  <c r="D362" i="3"/>
  <c r="E362" i="3" s="1"/>
  <c r="J362" i="3" s="1"/>
  <c r="U361" i="3" s="1"/>
  <c r="D361" i="3"/>
  <c r="E361" i="3" s="1"/>
  <c r="J361" i="3" s="1"/>
  <c r="U360" i="3" s="1"/>
  <c r="D360" i="3"/>
  <c r="E360" i="3" s="1"/>
  <c r="J360" i="3" s="1"/>
  <c r="U359" i="3" s="1"/>
  <c r="D359" i="3"/>
  <c r="E359" i="3" s="1"/>
  <c r="J359" i="3" s="1"/>
  <c r="U358" i="3" s="1"/>
  <c r="D358" i="3"/>
  <c r="E358" i="3" s="1"/>
  <c r="J358" i="3" s="1"/>
  <c r="U357" i="3" s="1"/>
  <c r="D357" i="3"/>
  <c r="E357" i="3" s="1"/>
  <c r="J357" i="3" s="1"/>
  <c r="U356" i="3" s="1"/>
  <c r="D356" i="3"/>
  <c r="E356" i="3" s="1"/>
  <c r="J356" i="3" s="1"/>
  <c r="U355" i="3" s="1"/>
  <c r="D355" i="3"/>
  <c r="E355" i="3" s="1"/>
  <c r="J355" i="3" s="1"/>
  <c r="D350" i="3"/>
  <c r="E350" i="3" s="1"/>
  <c r="K337" i="3" s="1"/>
  <c r="U346" i="3" s="1"/>
  <c r="D349" i="3"/>
  <c r="E349" i="3" s="1"/>
  <c r="K336" i="3" s="1"/>
  <c r="U345" i="3" s="1"/>
  <c r="D348" i="3"/>
  <c r="E348" i="3" s="1"/>
  <c r="K335" i="3" s="1"/>
  <c r="U344" i="3" s="1"/>
  <c r="D347" i="3"/>
  <c r="E347" i="3" s="1"/>
  <c r="K334" i="3" s="1"/>
  <c r="U343" i="3" s="1"/>
  <c r="D346" i="3"/>
  <c r="E346" i="3" s="1"/>
  <c r="K333" i="3" s="1"/>
  <c r="U342" i="3" s="1"/>
  <c r="D345" i="3"/>
  <c r="E345" i="3" s="1"/>
  <c r="K332" i="3" s="1"/>
  <c r="U341" i="3" s="1"/>
  <c r="D344" i="3"/>
  <c r="E344" i="3" s="1"/>
  <c r="K331" i="3" s="1"/>
  <c r="U340" i="3" s="1"/>
  <c r="E343" i="3"/>
  <c r="K330" i="3" s="1"/>
  <c r="U339" i="3" s="1"/>
  <c r="D343" i="3"/>
  <c r="D342" i="3"/>
  <c r="E342" i="3" s="1"/>
  <c r="K329" i="3" s="1"/>
  <c r="U338" i="3" s="1"/>
  <c r="D341" i="3"/>
  <c r="E341" i="3" s="1"/>
  <c r="K328" i="3" s="1"/>
  <c r="D337" i="3"/>
  <c r="E337" i="3" s="1"/>
  <c r="J337" i="3" s="1"/>
  <c r="U336" i="3" s="1"/>
  <c r="D336" i="3"/>
  <c r="E336" i="3" s="1"/>
  <c r="J336" i="3" s="1"/>
  <c r="U335" i="3" s="1"/>
  <c r="D335" i="3"/>
  <c r="E335" i="3" s="1"/>
  <c r="J335" i="3" s="1"/>
  <c r="U334" i="3" s="1"/>
  <c r="D334" i="3"/>
  <c r="E334" i="3" s="1"/>
  <c r="J334" i="3" s="1"/>
  <c r="U333" i="3" s="1"/>
  <c r="D333" i="3"/>
  <c r="E333" i="3" s="1"/>
  <c r="J333" i="3" s="1"/>
  <c r="U332" i="3" s="1"/>
  <c r="D332" i="3"/>
  <c r="E332" i="3" s="1"/>
  <c r="J332" i="3" s="1"/>
  <c r="U331" i="3" s="1"/>
  <c r="D331" i="3"/>
  <c r="E331" i="3" s="1"/>
  <c r="J331" i="3" s="1"/>
  <c r="U330" i="3" s="1"/>
  <c r="D330" i="3"/>
  <c r="E330" i="3" s="1"/>
  <c r="J330" i="3" s="1"/>
  <c r="U329" i="3" s="1"/>
  <c r="D329" i="3"/>
  <c r="E329" i="3" s="1"/>
  <c r="J329" i="3" s="1"/>
  <c r="U328" i="3" s="1"/>
  <c r="D328" i="3"/>
  <c r="E328" i="3" s="1"/>
  <c r="J328" i="3" s="1"/>
  <c r="D323" i="3"/>
  <c r="E323" i="3" s="1"/>
  <c r="K310" i="3" s="1"/>
  <c r="U319" i="3" s="1"/>
  <c r="D322" i="3"/>
  <c r="E322" i="3" s="1"/>
  <c r="K309" i="3" s="1"/>
  <c r="U318" i="3" s="1"/>
  <c r="D321" i="3"/>
  <c r="E321" i="3" s="1"/>
  <c r="K308" i="3" s="1"/>
  <c r="U317" i="3" s="1"/>
  <c r="D320" i="3"/>
  <c r="E320" i="3" s="1"/>
  <c r="K307" i="3" s="1"/>
  <c r="U316" i="3" s="1"/>
  <c r="D319" i="3"/>
  <c r="E319" i="3" s="1"/>
  <c r="K306" i="3" s="1"/>
  <c r="U315" i="3" s="1"/>
  <c r="D318" i="3"/>
  <c r="E318" i="3" s="1"/>
  <c r="K305" i="3" s="1"/>
  <c r="U314" i="3" s="1"/>
  <c r="E317" i="3"/>
  <c r="K304" i="3" s="1"/>
  <c r="U313" i="3" s="1"/>
  <c r="D317" i="3"/>
  <c r="E316" i="3"/>
  <c r="K303" i="3" s="1"/>
  <c r="U312" i="3" s="1"/>
  <c r="D316" i="3"/>
  <c r="D315" i="3"/>
  <c r="E315" i="3" s="1"/>
  <c r="K302" i="3" s="1"/>
  <c r="U311" i="3" s="1"/>
  <c r="D314" i="3"/>
  <c r="E314" i="3" s="1"/>
  <c r="K301" i="3" s="1"/>
  <c r="D310" i="3"/>
  <c r="E310" i="3" s="1"/>
  <c r="J310" i="3" s="1"/>
  <c r="U309" i="3" s="1"/>
  <c r="D309" i="3"/>
  <c r="E309" i="3" s="1"/>
  <c r="J309" i="3" s="1"/>
  <c r="U308" i="3" s="1"/>
  <c r="D308" i="3"/>
  <c r="E308" i="3" s="1"/>
  <c r="J308" i="3" s="1"/>
  <c r="U307" i="3" s="1"/>
  <c r="D307" i="3"/>
  <c r="E307" i="3" s="1"/>
  <c r="J307" i="3" s="1"/>
  <c r="U306" i="3" s="1"/>
  <c r="D306" i="3"/>
  <c r="E306" i="3" s="1"/>
  <c r="J306" i="3" s="1"/>
  <c r="U305" i="3" s="1"/>
  <c r="D305" i="3"/>
  <c r="E305" i="3" s="1"/>
  <c r="J305" i="3" s="1"/>
  <c r="U304" i="3" s="1"/>
  <c r="D304" i="3"/>
  <c r="E304" i="3" s="1"/>
  <c r="J304" i="3" s="1"/>
  <c r="U303" i="3" s="1"/>
  <c r="D303" i="3"/>
  <c r="E303" i="3" s="1"/>
  <c r="J303" i="3" s="1"/>
  <c r="U302" i="3" s="1"/>
  <c r="D302" i="3"/>
  <c r="E302" i="3" s="1"/>
  <c r="J302" i="3" s="1"/>
  <c r="U301" i="3" s="1"/>
  <c r="D301" i="3"/>
  <c r="E301" i="3" s="1"/>
  <c r="J301" i="3" s="1"/>
  <c r="D296" i="3"/>
  <c r="E296" i="3" s="1"/>
  <c r="K283" i="3" s="1"/>
  <c r="U292" i="3" s="1"/>
  <c r="E295" i="3"/>
  <c r="K282" i="3" s="1"/>
  <c r="U291" i="3" s="1"/>
  <c r="D295" i="3"/>
  <c r="D294" i="3"/>
  <c r="E294" i="3" s="1"/>
  <c r="K281" i="3" s="1"/>
  <c r="U290" i="3" s="1"/>
  <c r="D293" i="3"/>
  <c r="E293" i="3" s="1"/>
  <c r="K280" i="3" s="1"/>
  <c r="U289" i="3" s="1"/>
  <c r="D292" i="3"/>
  <c r="E292" i="3" s="1"/>
  <c r="K279" i="3" s="1"/>
  <c r="U288" i="3" s="1"/>
  <c r="D291" i="3"/>
  <c r="E291" i="3" s="1"/>
  <c r="K278" i="3" s="1"/>
  <c r="U287" i="3" s="1"/>
  <c r="D290" i="3"/>
  <c r="E290" i="3" s="1"/>
  <c r="K277" i="3" s="1"/>
  <c r="U286" i="3" s="1"/>
  <c r="D289" i="3"/>
  <c r="E289" i="3" s="1"/>
  <c r="K276" i="3" s="1"/>
  <c r="U285" i="3" s="1"/>
  <c r="D288" i="3"/>
  <c r="E288" i="3" s="1"/>
  <c r="K275" i="3" s="1"/>
  <c r="U284" i="3" s="1"/>
  <c r="D287" i="3"/>
  <c r="E287" i="3" s="1"/>
  <c r="K274" i="3" s="1"/>
  <c r="D283" i="3"/>
  <c r="E283" i="3" s="1"/>
  <c r="J283" i="3" s="1"/>
  <c r="U282" i="3" s="1"/>
  <c r="D282" i="3"/>
  <c r="E282" i="3" s="1"/>
  <c r="J282" i="3" s="1"/>
  <c r="U281" i="3" s="1"/>
  <c r="D281" i="3"/>
  <c r="E281" i="3" s="1"/>
  <c r="J281" i="3" s="1"/>
  <c r="U280" i="3" s="1"/>
  <c r="D280" i="3"/>
  <c r="E280" i="3" s="1"/>
  <c r="J280" i="3" s="1"/>
  <c r="U279" i="3" s="1"/>
  <c r="D279" i="3"/>
  <c r="E279" i="3" s="1"/>
  <c r="J279" i="3" s="1"/>
  <c r="U278" i="3" s="1"/>
  <c r="D278" i="3"/>
  <c r="E278" i="3" s="1"/>
  <c r="J278" i="3" s="1"/>
  <c r="U277" i="3" s="1"/>
  <c r="D277" i="3"/>
  <c r="E277" i="3" s="1"/>
  <c r="J277" i="3" s="1"/>
  <c r="U276" i="3" s="1"/>
  <c r="D276" i="3"/>
  <c r="E276" i="3" s="1"/>
  <c r="J276" i="3" s="1"/>
  <c r="U275" i="3" s="1"/>
  <c r="D275" i="3"/>
  <c r="E275" i="3" s="1"/>
  <c r="J275" i="3" s="1"/>
  <c r="U274" i="3" s="1"/>
  <c r="D274" i="3"/>
  <c r="E274" i="3" s="1"/>
  <c r="J274" i="3" s="1"/>
  <c r="D269" i="3"/>
  <c r="E269" i="3" s="1"/>
  <c r="K256" i="3" s="1"/>
  <c r="U265" i="3" s="1"/>
  <c r="D268" i="3"/>
  <c r="E268" i="3" s="1"/>
  <c r="K255" i="3" s="1"/>
  <c r="U264" i="3" s="1"/>
  <c r="D267" i="3"/>
  <c r="E267" i="3" s="1"/>
  <c r="K254" i="3" s="1"/>
  <c r="U263" i="3" s="1"/>
  <c r="D266" i="3"/>
  <c r="E266" i="3" s="1"/>
  <c r="K253" i="3" s="1"/>
  <c r="U262" i="3" s="1"/>
  <c r="D265" i="3"/>
  <c r="E265" i="3" s="1"/>
  <c r="K252" i="3" s="1"/>
  <c r="U261" i="3" s="1"/>
  <c r="D264" i="3"/>
  <c r="E264" i="3" s="1"/>
  <c r="K251" i="3" s="1"/>
  <c r="U260" i="3" s="1"/>
  <c r="D263" i="3"/>
  <c r="E263" i="3" s="1"/>
  <c r="K250" i="3" s="1"/>
  <c r="U259" i="3" s="1"/>
  <c r="D262" i="3"/>
  <c r="E262" i="3" s="1"/>
  <c r="K249" i="3" s="1"/>
  <c r="U258" i="3" s="1"/>
  <c r="D261" i="3"/>
  <c r="E261" i="3" s="1"/>
  <c r="K248" i="3" s="1"/>
  <c r="U257" i="3" s="1"/>
  <c r="D260" i="3"/>
  <c r="E260" i="3" s="1"/>
  <c r="K247" i="3" s="1"/>
  <c r="D256" i="3"/>
  <c r="E256" i="3" s="1"/>
  <c r="J256" i="3" s="1"/>
  <c r="U255" i="3" s="1"/>
  <c r="D255" i="3"/>
  <c r="E255" i="3" s="1"/>
  <c r="J255" i="3" s="1"/>
  <c r="U254" i="3" s="1"/>
  <c r="D254" i="3"/>
  <c r="E254" i="3" s="1"/>
  <c r="J254" i="3" s="1"/>
  <c r="U253" i="3" s="1"/>
  <c r="D253" i="3"/>
  <c r="E253" i="3" s="1"/>
  <c r="J253" i="3" s="1"/>
  <c r="U252" i="3" s="1"/>
  <c r="E252" i="3"/>
  <c r="J252" i="3" s="1"/>
  <c r="U251" i="3" s="1"/>
  <c r="D252" i="3"/>
  <c r="D251" i="3"/>
  <c r="E251" i="3" s="1"/>
  <c r="J251" i="3" s="1"/>
  <c r="U250" i="3" s="1"/>
  <c r="D250" i="3"/>
  <c r="E250" i="3" s="1"/>
  <c r="J250" i="3" s="1"/>
  <c r="U249" i="3" s="1"/>
  <c r="D249" i="3"/>
  <c r="E249" i="3" s="1"/>
  <c r="J249" i="3" s="1"/>
  <c r="U248" i="3" s="1"/>
  <c r="E248" i="3"/>
  <c r="J248" i="3" s="1"/>
  <c r="U247" i="3" s="1"/>
  <c r="D248" i="3"/>
  <c r="D247" i="3"/>
  <c r="E247" i="3" s="1"/>
  <c r="J247" i="3" s="1"/>
  <c r="D242" i="3"/>
  <c r="E242" i="3" s="1"/>
  <c r="K229" i="3" s="1"/>
  <c r="U238" i="3" s="1"/>
  <c r="D241" i="3"/>
  <c r="E241" i="3" s="1"/>
  <c r="K228" i="3" s="1"/>
  <c r="U237" i="3" s="1"/>
  <c r="D240" i="3"/>
  <c r="E240" i="3" s="1"/>
  <c r="K227" i="3" s="1"/>
  <c r="U236" i="3" s="1"/>
  <c r="E239" i="3"/>
  <c r="K226" i="3" s="1"/>
  <c r="U235" i="3" s="1"/>
  <c r="D239" i="3"/>
  <c r="D238" i="3"/>
  <c r="E238" i="3" s="1"/>
  <c r="K225" i="3" s="1"/>
  <c r="U234" i="3" s="1"/>
  <c r="D237" i="3"/>
  <c r="E237" i="3" s="1"/>
  <c r="K224" i="3" s="1"/>
  <c r="U233" i="3" s="1"/>
  <c r="E236" i="3"/>
  <c r="K223" i="3" s="1"/>
  <c r="U232" i="3" s="1"/>
  <c r="D236" i="3"/>
  <c r="D235" i="3"/>
  <c r="E235" i="3" s="1"/>
  <c r="K222" i="3" s="1"/>
  <c r="U231" i="3" s="1"/>
  <c r="E234" i="3"/>
  <c r="K221" i="3" s="1"/>
  <c r="U230" i="3" s="1"/>
  <c r="D234" i="3"/>
  <c r="D233" i="3"/>
  <c r="E233" i="3" s="1"/>
  <c r="K220" i="3" s="1"/>
  <c r="D229" i="3"/>
  <c r="E229" i="3" s="1"/>
  <c r="J229" i="3" s="1"/>
  <c r="U228" i="3" s="1"/>
  <c r="D228" i="3"/>
  <c r="E228" i="3" s="1"/>
  <c r="J228" i="3" s="1"/>
  <c r="U227" i="3" s="1"/>
  <c r="D227" i="3"/>
  <c r="E227" i="3" s="1"/>
  <c r="J227" i="3" s="1"/>
  <c r="U226" i="3" s="1"/>
  <c r="D226" i="3"/>
  <c r="E226" i="3" s="1"/>
  <c r="J226" i="3" s="1"/>
  <c r="U225" i="3" s="1"/>
  <c r="D225" i="3"/>
  <c r="E225" i="3" s="1"/>
  <c r="J225" i="3" s="1"/>
  <c r="U224" i="3" s="1"/>
  <c r="D224" i="3"/>
  <c r="E224" i="3" s="1"/>
  <c r="J224" i="3" s="1"/>
  <c r="U223" i="3" s="1"/>
  <c r="D223" i="3"/>
  <c r="E223" i="3" s="1"/>
  <c r="J223" i="3" s="1"/>
  <c r="U222" i="3" s="1"/>
  <c r="D222" i="3"/>
  <c r="E222" i="3" s="1"/>
  <c r="J222" i="3" s="1"/>
  <c r="U221" i="3" s="1"/>
  <c r="D221" i="3"/>
  <c r="E221" i="3" s="1"/>
  <c r="J221" i="3" s="1"/>
  <c r="U220" i="3" s="1"/>
  <c r="D220" i="3"/>
  <c r="E220" i="3" s="1"/>
  <c r="J220" i="3" s="1"/>
  <c r="D215" i="3"/>
  <c r="E215" i="3" s="1"/>
  <c r="K202" i="3" s="1"/>
  <c r="U211" i="3" s="1"/>
  <c r="D214" i="3"/>
  <c r="E214" i="3" s="1"/>
  <c r="K201" i="3" s="1"/>
  <c r="U210" i="3" s="1"/>
  <c r="D213" i="3"/>
  <c r="E213" i="3" s="1"/>
  <c r="K200" i="3" s="1"/>
  <c r="U209" i="3" s="1"/>
  <c r="D212" i="3"/>
  <c r="E212" i="3" s="1"/>
  <c r="K199" i="3" s="1"/>
  <c r="U208" i="3" s="1"/>
  <c r="D211" i="3"/>
  <c r="E211" i="3" s="1"/>
  <c r="K198" i="3" s="1"/>
  <c r="U207" i="3" s="1"/>
  <c r="D210" i="3"/>
  <c r="E210" i="3" s="1"/>
  <c r="K197" i="3" s="1"/>
  <c r="U206" i="3" s="1"/>
  <c r="D209" i="3"/>
  <c r="E209" i="3" s="1"/>
  <c r="K196" i="3" s="1"/>
  <c r="U205" i="3" s="1"/>
  <c r="D208" i="3"/>
  <c r="E208" i="3" s="1"/>
  <c r="K195" i="3" s="1"/>
  <c r="U204" i="3" s="1"/>
  <c r="D207" i="3"/>
  <c r="E207" i="3" s="1"/>
  <c r="K194" i="3" s="1"/>
  <c r="U203" i="3" s="1"/>
  <c r="D206" i="3"/>
  <c r="E206" i="3" s="1"/>
  <c r="K193" i="3" s="1"/>
  <c r="D202" i="3"/>
  <c r="E202" i="3" s="1"/>
  <c r="J202" i="3" s="1"/>
  <c r="U201" i="3" s="1"/>
  <c r="D201" i="3"/>
  <c r="E201" i="3" s="1"/>
  <c r="J201" i="3" s="1"/>
  <c r="U200" i="3" s="1"/>
  <c r="D200" i="3"/>
  <c r="E200" i="3" s="1"/>
  <c r="J200" i="3" s="1"/>
  <c r="U199" i="3" s="1"/>
  <c r="D199" i="3"/>
  <c r="E199" i="3" s="1"/>
  <c r="J199" i="3" s="1"/>
  <c r="U198" i="3" s="1"/>
  <c r="D198" i="3"/>
  <c r="E198" i="3" s="1"/>
  <c r="J198" i="3" s="1"/>
  <c r="U197" i="3" s="1"/>
  <c r="D197" i="3"/>
  <c r="E197" i="3" s="1"/>
  <c r="J197" i="3" s="1"/>
  <c r="U196" i="3" s="1"/>
  <c r="D196" i="3"/>
  <c r="E196" i="3" s="1"/>
  <c r="J196" i="3" s="1"/>
  <c r="U195" i="3" s="1"/>
  <c r="D195" i="3"/>
  <c r="E195" i="3" s="1"/>
  <c r="J195" i="3" s="1"/>
  <c r="U194" i="3" s="1"/>
  <c r="D194" i="3"/>
  <c r="E194" i="3" s="1"/>
  <c r="J194" i="3" s="1"/>
  <c r="U193" i="3" s="1"/>
  <c r="D193" i="3"/>
  <c r="E193" i="3" s="1"/>
  <c r="J193" i="3" s="1"/>
  <c r="D188" i="3"/>
  <c r="E188" i="3" s="1"/>
  <c r="K175" i="3" s="1"/>
  <c r="U184" i="3" s="1"/>
  <c r="D187" i="3"/>
  <c r="E187" i="3" s="1"/>
  <c r="K174" i="3" s="1"/>
  <c r="U183" i="3" s="1"/>
  <c r="D186" i="3"/>
  <c r="E186" i="3" s="1"/>
  <c r="K173" i="3" s="1"/>
  <c r="U182" i="3" s="1"/>
  <c r="D185" i="3"/>
  <c r="E185" i="3" s="1"/>
  <c r="K172" i="3" s="1"/>
  <c r="U181" i="3" s="1"/>
  <c r="D184" i="3"/>
  <c r="E184" i="3" s="1"/>
  <c r="K171" i="3" s="1"/>
  <c r="U180" i="3" s="1"/>
  <c r="D183" i="3"/>
  <c r="E183" i="3" s="1"/>
  <c r="K170" i="3" s="1"/>
  <c r="U179" i="3" s="1"/>
  <c r="D182" i="3"/>
  <c r="E182" i="3" s="1"/>
  <c r="K169" i="3" s="1"/>
  <c r="U178" i="3" s="1"/>
  <c r="D181" i="3"/>
  <c r="E181" i="3" s="1"/>
  <c r="K168" i="3" s="1"/>
  <c r="U177" i="3" s="1"/>
  <c r="D180" i="3"/>
  <c r="E180" i="3" s="1"/>
  <c r="K167" i="3" s="1"/>
  <c r="U176" i="3" s="1"/>
  <c r="D179" i="3"/>
  <c r="E179" i="3" s="1"/>
  <c r="K166" i="3" s="1"/>
  <c r="E175" i="3"/>
  <c r="J175" i="3" s="1"/>
  <c r="U174" i="3" s="1"/>
  <c r="D175" i="3"/>
  <c r="D174" i="3"/>
  <c r="E174" i="3" s="1"/>
  <c r="J174" i="3" s="1"/>
  <c r="U173" i="3" s="1"/>
  <c r="E173" i="3"/>
  <c r="J173" i="3" s="1"/>
  <c r="U172" i="3" s="1"/>
  <c r="D173" i="3"/>
  <c r="D172" i="3"/>
  <c r="E172" i="3" s="1"/>
  <c r="J172" i="3" s="1"/>
  <c r="U171" i="3" s="1"/>
  <c r="E171" i="3"/>
  <c r="J171" i="3" s="1"/>
  <c r="U170" i="3" s="1"/>
  <c r="D171" i="3"/>
  <c r="D170" i="3"/>
  <c r="E170" i="3" s="1"/>
  <c r="J170" i="3" s="1"/>
  <c r="U169" i="3" s="1"/>
  <c r="D169" i="3"/>
  <c r="E169" i="3" s="1"/>
  <c r="J169" i="3" s="1"/>
  <c r="U168" i="3" s="1"/>
  <c r="D168" i="3"/>
  <c r="E168" i="3" s="1"/>
  <c r="J168" i="3" s="1"/>
  <c r="U167" i="3" s="1"/>
  <c r="D167" i="3"/>
  <c r="E167" i="3" s="1"/>
  <c r="J167" i="3" s="1"/>
  <c r="U166" i="3" s="1"/>
  <c r="D166" i="3"/>
  <c r="E166" i="3" s="1"/>
  <c r="J166" i="3" s="1"/>
  <c r="D161" i="3"/>
  <c r="E161" i="3" s="1"/>
  <c r="K148" i="3" s="1"/>
  <c r="U157" i="3" s="1"/>
  <c r="D160" i="3"/>
  <c r="E160" i="3" s="1"/>
  <c r="K147" i="3" s="1"/>
  <c r="U156" i="3" s="1"/>
  <c r="D159" i="3"/>
  <c r="E159" i="3" s="1"/>
  <c r="K146" i="3" s="1"/>
  <c r="U155" i="3" s="1"/>
  <c r="D158" i="3"/>
  <c r="E158" i="3" s="1"/>
  <c r="K145" i="3" s="1"/>
  <c r="U154" i="3" s="1"/>
  <c r="E157" i="3"/>
  <c r="K144" i="3" s="1"/>
  <c r="U153" i="3" s="1"/>
  <c r="D157" i="3"/>
  <c r="D156" i="3"/>
  <c r="E156" i="3" s="1"/>
  <c r="K143" i="3" s="1"/>
  <c r="U152" i="3" s="1"/>
  <c r="D155" i="3"/>
  <c r="E155" i="3" s="1"/>
  <c r="K142" i="3" s="1"/>
  <c r="U151" i="3" s="1"/>
  <c r="D154" i="3"/>
  <c r="E154" i="3" s="1"/>
  <c r="K141" i="3" s="1"/>
  <c r="U150" i="3" s="1"/>
  <c r="D153" i="3"/>
  <c r="E153" i="3" s="1"/>
  <c r="K140" i="3" s="1"/>
  <c r="U149" i="3" s="1"/>
  <c r="D152" i="3"/>
  <c r="E152" i="3" s="1"/>
  <c r="K139" i="3" s="1"/>
  <c r="D148" i="3"/>
  <c r="E148" i="3" s="1"/>
  <c r="J148" i="3" s="1"/>
  <c r="U147" i="3" s="1"/>
  <c r="D147" i="3"/>
  <c r="E147" i="3" s="1"/>
  <c r="J147" i="3" s="1"/>
  <c r="U146" i="3" s="1"/>
  <c r="D146" i="3"/>
  <c r="E146" i="3" s="1"/>
  <c r="J146" i="3" s="1"/>
  <c r="U145" i="3" s="1"/>
  <c r="D145" i="3"/>
  <c r="E145" i="3" s="1"/>
  <c r="J145" i="3" s="1"/>
  <c r="U144" i="3" s="1"/>
  <c r="D144" i="3"/>
  <c r="E144" i="3" s="1"/>
  <c r="J144" i="3" s="1"/>
  <c r="U143" i="3" s="1"/>
  <c r="E143" i="3"/>
  <c r="J143" i="3" s="1"/>
  <c r="U142" i="3" s="1"/>
  <c r="D143" i="3"/>
  <c r="E142" i="3"/>
  <c r="J142" i="3" s="1"/>
  <c r="U141" i="3" s="1"/>
  <c r="D142" i="3"/>
  <c r="D141" i="3"/>
  <c r="E141" i="3" s="1"/>
  <c r="J141" i="3" s="1"/>
  <c r="U140" i="3" s="1"/>
  <c r="D140" i="3"/>
  <c r="E140" i="3" s="1"/>
  <c r="J140" i="3" s="1"/>
  <c r="U139" i="3" s="1"/>
  <c r="D139" i="3"/>
  <c r="E139" i="3" s="1"/>
  <c r="J139" i="3" s="1"/>
  <c r="D134" i="3"/>
  <c r="E134" i="3" s="1"/>
  <c r="K121" i="3" s="1"/>
  <c r="U130" i="3" s="1"/>
  <c r="D133" i="3"/>
  <c r="E133" i="3" s="1"/>
  <c r="K120" i="3" s="1"/>
  <c r="U129" i="3" s="1"/>
  <c r="D132" i="3"/>
  <c r="E132" i="3" s="1"/>
  <c r="K119" i="3" s="1"/>
  <c r="U128" i="3" s="1"/>
  <c r="D131" i="3"/>
  <c r="E131" i="3" s="1"/>
  <c r="K118" i="3" s="1"/>
  <c r="U127" i="3" s="1"/>
  <c r="D130" i="3"/>
  <c r="E130" i="3" s="1"/>
  <c r="K117" i="3" s="1"/>
  <c r="U126" i="3" s="1"/>
  <c r="D129" i="3"/>
  <c r="E129" i="3" s="1"/>
  <c r="K116" i="3" s="1"/>
  <c r="U125" i="3" s="1"/>
  <c r="E128" i="3"/>
  <c r="D128" i="3"/>
  <c r="E127" i="3"/>
  <c r="K114" i="3" s="1"/>
  <c r="U123" i="3" s="1"/>
  <c r="D127" i="3"/>
  <c r="D126" i="3"/>
  <c r="E126" i="3" s="1"/>
  <c r="K113" i="3" s="1"/>
  <c r="U122" i="3" s="1"/>
  <c r="D125" i="3"/>
  <c r="E125" i="3" s="1"/>
  <c r="K112" i="3" s="1"/>
  <c r="D121" i="3"/>
  <c r="E121" i="3" s="1"/>
  <c r="J121" i="3" s="1"/>
  <c r="U120" i="3" s="1"/>
  <c r="D120" i="3"/>
  <c r="E120" i="3" s="1"/>
  <c r="J120" i="3" s="1"/>
  <c r="U119" i="3" s="1"/>
  <c r="D119" i="3"/>
  <c r="E119" i="3" s="1"/>
  <c r="J119" i="3" s="1"/>
  <c r="U118" i="3" s="1"/>
  <c r="D118" i="3"/>
  <c r="E118" i="3" s="1"/>
  <c r="J118" i="3" s="1"/>
  <c r="U117" i="3" s="1"/>
  <c r="E117" i="3"/>
  <c r="J117" i="3" s="1"/>
  <c r="U116" i="3" s="1"/>
  <c r="D117" i="3"/>
  <c r="D116" i="3"/>
  <c r="E116" i="3" s="1"/>
  <c r="J116" i="3" s="1"/>
  <c r="U115" i="3" s="1"/>
  <c r="K115" i="3"/>
  <c r="U124" i="3" s="1"/>
  <c r="D115" i="3"/>
  <c r="E115" i="3" s="1"/>
  <c r="J115" i="3" s="1"/>
  <c r="U114" i="3" s="1"/>
  <c r="D114" i="3"/>
  <c r="E114" i="3" s="1"/>
  <c r="J114" i="3" s="1"/>
  <c r="U113" i="3" s="1"/>
  <c r="D113" i="3"/>
  <c r="E113" i="3" s="1"/>
  <c r="J113" i="3" s="1"/>
  <c r="U112" i="3" s="1"/>
  <c r="D112" i="3"/>
  <c r="E112" i="3" s="1"/>
  <c r="J112" i="3" s="1"/>
  <c r="D107" i="3"/>
  <c r="E107" i="3" s="1"/>
  <c r="K94" i="3" s="1"/>
  <c r="U103" i="3" s="1"/>
  <c r="D106" i="3"/>
  <c r="E106" i="3" s="1"/>
  <c r="K93" i="3" s="1"/>
  <c r="U102" i="3" s="1"/>
  <c r="D105" i="3"/>
  <c r="E105" i="3" s="1"/>
  <c r="K92" i="3" s="1"/>
  <c r="U101" i="3" s="1"/>
  <c r="D104" i="3"/>
  <c r="E104" i="3" s="1"/>
  <c r="K91" i="3" s="1"/>
  <c r="U100" i="3" s="1"/>
  <c r="D103" i="3"/>
  <c r="E103" i="3" s="1"/>
  <c r="K90" i="3" s="1"/>
  <c r="U99" i="3" s="1"/>
  <c r="D102" i="3"/>
  <c r="E102" i="3" s="1"/>
  <c r="K89" i="3" s="1"/>
  <c r="U98" i="3" s="1"/>
  <c r="D101" i="3"/>
  <c r="E101" i="3" s="1"/>
  <c r="K88" i="3" s="1"/>
  <c r="U97" i="3" s="1"/>
  <c r="D100" i="3"/>
  <c r="E100" i="3" s="1"/>
  <c r="K87" i="3" s="1"/>
  <c r="U96" i="3" s="1"/>
  <c r="D99" i="3"/>
  <c r="E99" i="3" s="1"/>
  <c r="K86" i="3" s="1"/>
  <c r="U95" i="3" s="1"/>
  <c r="D98" i="3"/>
  <c r="E98" i="3" s="1"/>
  <c r="K85" i="3" s="1"/>
  <c r="D94" i="3"/>
  <c r="E94" i="3" s="1"/>
  <c r="J94" i="3" s="1"/>
  <c r="U93" i="3" s="1"/>
  <c r="D93" i="3"/>
  <c r="E93" i="3" s="1"/>
  <c r="J93" i="3" s="1"/>
  <c r="U92" i="3" s="1"/>
  <c r="D92" i="3"/>
  <c r="E92" i="3" s="1"/>
  <c r="J92" i="3" s="1"/>
  <c r="U91" i="3" s="1"/>
  <c r="D91" i="3"/>
  <c r="E91" i="3" s="1"/>
  <c r="J91" i="3" s="1"/>
  <c r="U90" i="3" s="1"/>
  <c r="D90" i="3"/>
  <c r="E90" i="3" s="1"/>
  <c r="J90" i="3" s="1"/>
  <c r="U89" i="3" s="1"/>
  <c r="D89" i="3"/>
  <c r="E89" i="3" s="1"/>
  <c r="J89" i="3" s="1"/>
  <c r="U88" i="3" s="1"/>
  <c r="D88" i="3"/>
  <c r="E88" i="3" s="1"/>
  <c r="J88" i="3" s="1"/>
  <c r="U87" i="3" s="1"/>
  <c r="D87" i="3"/>
  <c r="E87" i="3" s="1"/>
  <c r="J87" i="3" s="1"/>
  <c r="U86" i="3" s="1"/>
  <c r="E86" i="3"/>
  <c r="J86" i="3" s="1"/>
  <c r="U85" i="3" s="1"/>
  <c r="D86" i="3"/>
  <c r="D85" i="3"/>
  <c r="E85" i="3" s="1"/>
  <c r="J85" i="3" s="1"/>
  <c r="D80" i="3"/>
  <c r="E80" i="3" s="1"/>
  <c r="K67" i="3" s="1"/>
  <c r="U76" i="3" s="1"/>
  <c r="D79" i="3"/>
  <c r="E79" i="3" s="1"/>
  <c r="K66" i="3" s="1"/>
  <c r="U75" i="3" s="1"/>
  <c r="D78" i="3"/>
  <c r="E78" i="3" s="1"/>
  <c r="K65" i="3" s="1"/>
  <c r="U74" i="3" s="1"/>
  <c r="D77" i="3"/>
  <c r="E77" i="3" s="1"/>
  <c r="K64" i="3" s="1"/>
  <c r="U73" i="3" s="1"/>
  <c r="D76" i="3"/>
  <c r="E76" i="3" s="1"/>
  <c r="K63" i="3" s="1"/>
  <c r="U72" i="3" s="1"/>
  <c r="D75" i="3"/>
  <c r="E75" i="3" s="1"/>
  <c r="K62" i="3" s="1"/>
  <c r="U71" i="3" s="1"/>
  <c r="D74" i="3"/>
  <c r="E74" i="3" s="1"/>
  <c r="K61" i="3" s="1"/>
  <c r="U70" i="3" s="1"/>
  <c r="D73" i="3"/>
  <c r="E73" i="3" s="1"/>
  <c r="K60" i="3" s="1"/>
  <c r="U69" i="3" s="1"/>
  <c r="D72" i="3"/>
  <c r="E72" i="3" s="1"/>
  <c r="K59" i="3" s="1"/>
  <c r="U68" i="3" s="1"/>
  <c r="D71" i="3"/>
  <c r="E71" i="3" s="1"/>
  <c r="K58" i="3" s="1"/>
  <c r="D67" i="3"/>
  <c r="E67" i="3" s="1"/>
  <c r="J67" i="3" s="1"/>
  <c r="U66" i="3" s="1"/>
  <c r="D66" i="3"/>
  <c r="E66" i="3" s="1"/>
  <c r="J66" i="3" s="1"/>
  <c r="U65" i="3" s="1"/>
  <c r="D65" i="3"/>
  <c r="E65" i="3" s="1"/>
  <c r="J65" i="3" s="1"/>
  <c r="U64" i="3" s="1"/>
  <c r="D64" i="3"/>
  <c r="E64" i="3" s="1"/>
  <c r="J64" i="3" s="1"/>
  <c r="U63" i="3" s="1"/>
  <c r="D63" i="3"/>
  <c r="E63" i="3" s="1"/>
  <c r="J63" i="3" s="1"/>
  <c r="U62" i="3" s="1"/>
  <c r="D62" i="3"/>
  <c r="E62" i="3" s="1"/>
  <c r="J62" i="3" s="1"/>
  <c r="U61" i="3" s="1"/>
  <c r="D61" i="3"/>
  <c r="E61" i="3" s="1"/>
  <c r="J61" i="3" s="1"/>
  <c r="U60" i="3" s="1"/>
  <c r="D60" i="3"/>
  <c r="E60" i="3" s="1"/>
  <c r="J60" i="3" s="1"/>
  <c r="U59" i="3" s="1"/>
  <c r="D59" i="3"/>
  <c r="E59" i="3" s="1"/>
  <c r="J59" i="3" s="1"/>
  <c r="U58" i="3" s="1"/>
  <c r="D58" i="3"/>
  <c r="E58" i="3" s="1"/>
  <c r="J58" i="3" s="1"/>
  <c r="D53" i="3"/>
  <c r="E53" i="3" s="1"/>
  <c r="K40" i="3" s="1"/>
  <c r="U49" i="3" s="1"/>
  <c r="D52" i="3"/>
  <c r="E52" i="3" s="1"/>
  <c r="K39" i="3" s="1"/>
  <c r="U48" i="3" s="1"/>
  <c r="D51" i="3"/>
  <c r="E51" i="3" s="1"/>
  <c r="K38" i="3" s="1"/>
  <c r="U47" i="3" s="1"/>
  <c r="D50" i="3"/>
  <c r="E50" i="3" s="1"/>
  <c r="K37" i="3" s="1"/>
  <c r="U46" i="3" s="1"/>
  <c r="D49" i="3"/>
  <c r="E49" i="3" s="1"/>
  <c r="K36" i="3" s="1"/>
  <c r="U45" i="3" s="1"/>
  <c r="E48" i="3"/>
  <c r="K35" i="3" s="1"/>
  <c r="U44" i="3" s="1"/>
  <c r="D48" i="3"/>
  <c r="D47" i="3"/>
  <c r="E47" i="3" s="1"/>
  <c r="K34" i="3" s="1"/>
  <c r="U43" i="3" s="1"/>
  <c r="D46" i="3"/>
  <c r="E46" i="3" s="1"/>
  <c r="K33" i="3" s="1"/>
  <c r="U42" i="3" s="1"/>
  <c r="D45" i="3"/>
  <c r="E45" i="3" s="1"/>
  <c r="K32" i="3" s="1"/>
  <c r="U41" i="3" s="1"/>
  <c r="D44" i="3"/>
  <c r="E44" i="3" s="1"/>
  <c r="K31" i="3" s="1"/>
  <c r="D40" i="3"/>
  <c r="E40" i="3" s="1"/>
  <c r="J40" i="3" s="1"/>
  <c r="U39" i="3" s="1"/>
  <c r="D39" i="3"/>
  <c r="E39" i="3" s="1"/>
  <c r="J39" i="3" s="1"/>
  <c r="U38" i="3" s="1"/>
  <c r="D38" i="3"/>
  <c r="E38" i="3" s="1"/>
  <c r="J38" i="3" s="1"/>
  <c r="U37" i="3" s="1"/>
  <c r="D37" i="3"/>
  <c r="E37" i="3" s="1"/>
  <c r="J37" i="3" s="1"/>
  <c r="U36" i="3" s="1"/>
  <c r="D36" i="3"/>
  <c r="E36" i="3" s="1"/>
  <c r="J36" i="3" s="1"/>
  <c r="U35" i="3" s="1"/>
  <c r="D35" i="3"/>
  <c r="E35" i="3" s="1"/>
  <c r="J35" i="3" s="1"/>
  <c r="U34" i="3" s="1"/>
  <c r="D34" i="3"/>
  <c r="E34" i="3" s="1"/>
  <c r="J34" i="3" s="1"/>
  <c r="U33" i="3" s="1"/>
  <c r="D33" i="3"/>
  <c r="E33" i="3" s="1"/>
  <c r="J33" i="3" s="1"/>
  <c r="U32" i="3" s="1"/>
  <c r="D32" i="3"/>
  <c r="E32" i="3" s="1"/>
  <c r="J32" i="3" s="1"/>
  <c r="U31" i="3" s="1"/>
  <c r="D31" i="3"/>
  <c r="E31" i="3" s="1"/>
  <c r="J31" i="3" s="1"/>
  <c r="D26" i="3"/>
  <c r="E26" i="3" s="1"/>
  <c r="K13" i="3" s="1"/>
  <c r="U22" i="3" s="1"/>
  <c r="D25" i="3"/>
  <c r="E25" i="3" s="1"/>
  <c r="K12" i="3" s="1"/>
  <c r="U21" i="3" s="1"/>
  <c r="D24" i="3"/>
  <c r="E24" i="3" s="1"/>
  <c r="K11" i="3" s="1"/>
  <c r="U20" i="3" s="1"/>
  <c r="D23" i="3"/>
  <c r="E23" i="3" s="1"/>
  <c r="K10" i="3" s="1"/>
  <c r="U19" i="3" s="1"/>
  <c r="D22" i="3"/>
  <c r="E22" i="3" s="1"/>
  <c r="K9" i="3" s="1"/>
  <c r="U18" i="3" s="1"/>
  <c r="D21" i="3"/>
  <c r="E21" i="3" s="1"/>
  <c r="K8" i="3" s="1"/>
  <c r="U17" i="3" s="1"/>
  <c r="D20" i="3"/>
  <c r="E20" i="3" s="1"/>
  <c r="K7" i="3" s="1"/>
  <c r="U16" i="3" s="1"/>
  <c r="D19" i="3"/>
  <c r="E19" i="3" s="1"/>
  <c r="K6" i="3" s="1"/>
  <c r="U15" i="3" s="1"/>
  <c r="D18" i="3"/>
  <c r="E18" i="3" s="1"/>
  <c r="K5" i="3" s="1"/>
  <c r="U14" i="3" s="1"/>
  <c r="D17" i="3"/>
  <c r="E17" i="3" s="1"/>
  <c r="K4" i="3" s="1"/>
  <c r="D13" i="3"/>
  <c r="E13" i="3" s="1"/>
  <c r="J13" i="3" s="1"/>
  <c r="U12" i="3" s="1"/>
  <c r="D12" i="3"/>
  <c r="E12" i="3" s="1"/>
  <c r="J12" i="3" s="1"/>
  <c r="U11" i="3" s="1"/>
  <c r="D11" i="3"/>
  <c r="E11" i="3" s="1"/>
  <c r="J11" i="3" s="1"/>
  <c r="U10" i="3" s="1"/>
  <c r="D10" i="3"/>
  <c r="E10" i="3" s="1"/>
  <c r="J10" i="3" s="1"/>
  <c r="U9" i="3" s="1"/>
  <c r="D9" i="3"/>
  <c r="E9" i="3" s="1"/>
  <c r="J9" i="3" s="1"/>
  <c r="U8" i="3" s="1"/>
  <c r="D8" i="3"/>
  <c r="E8" i="3" s="1"/>
  <c r="J8" i="3" s="1"/>
  <c r="U7" i="3" s="1"/>
  <c r="D7" i="3"/>
  <c r="E7" i="3" s="1"/>
  <c r="J7" i="3" s="1"/>
  <c r="U6" i="3" s="1"/>
  <c r="D6" i="3"/>
  <c r="E6" i="3" s="1"/>
  <c r="J6" i="3" s="1"/>
  <c r="U5" i="3" s="1"/>
  <c r="D5" i="3"/>
  <c r="E5" i="3" s="1"/>
  <c r="J5" i="3" s="1"/>
  <c r="U4" i="3" s="1"/>
  <c r="D4" i="3"/>
  <c r="E4" i="3" s="1"/>
  <c r="J4" i="3" s="1"/>
  <c r="D1083" i="1"/>
  <c r="E1083" i="1" s="1"/>
  <c r="K1070" i="1" s="1"/>
  <c r="U1079" i="1" s="1"/>
  <c r="D1082" i="1"/>
  <c r="E1082" i="1" s="1"/>
  <c r="K1069" i="1" s="1"/>
  <c r="U1078" i="1" s="1"/>
  <c r="D1081" i="1"/>
  <c r="E1081" i="1" s="1"/>
  <c r="K1068" i="1" s="1"/>
  <c r="U1077" i="1" s="1"/>
  <c r="D1080" i="1"/>
  <c r="E1080" i="1" s="1"/>
  <c r="K1067" i="1" s="1"/>
  <c r="U1076" i="1" s="1"/>
  <c r="D1079" i="1"/>
  <c r="E1079" i="1" s="1"/>
  <c r="K1066" i="1" s="1"/>
  <c r="U1075" i="1" s="1"/>
  <c r="D1078" i="1"/>
  <c r="E1078" i="1" s="1"/>
  <c r="K1065" i="1" s="1"/>
  <c r="U1074" i="1" s="1"/>
  <c r="D1077" i="1"/>
  <c r="E1077" i="1" s="1"/>
  <c r="K1064" i="1" s="1"/>
  <c r="U1073" i="1" s="1"/>
  <c r="D1076" i="1"/>
  <c r="E1076" i="1" s="1"/>
  <c r="K1063" i="1" s="1"/>
  <c r="U1072" i="1" s="1"/>
  <c r="D1075" i="1"/>
  <c r="E1075" i="1" s="1"/>
  <c r="K1062" i="1" s="1"/>
  <c r="U1071" i="1" s="1"/>
  <c r="D1074" i="1"/>
  <c r="E1074" i="1" s="1"/>
  <c r="K1061" i="1" s="1"/>
  <c r="D1070" i="1"/>
  <c r="E1070" i="1" s="1"/>
  <c r="J1070" i="1" s="1"/>
  <c r="U1069" i="1" s="1"/>
  <c r="D1069" i="1"/>
  <c r="E1069" i="1" s="1"/>
  <c r="J1069" i="1" s="1"/>
  <c r="U1068" i="1" s="1"/>
  <c r="D1068" i="1"/>
  <c r="E1068" i="1" s="1"/>
  <c r="J1068" i="1" s="1"/>
  <c r="U1067" i="1" s="1"/>
  <c r="D1067" i="1"/>
  <c r="E1067" i="1" s="1"/>
  <c r="J1067" i="1" s="1"/>
  <c r="U1066" i="1" s="1"/>
  <c r="D1066" i="1"/>
  <c r="E1066" i="1" s="1"/>
  <c r="J1066" i="1" s="1"/>
  <c r="U1065" i="1" s="1"/>
  <c r="D1065" i="1"/>
  <c r="E1065" i="1" s="1"/>
  <c r="J1065" i="1" s="1"/>
  <c r="U1064" i="1" s="1"/>
  <c r="D1064" i="1"/>
  <c r="E1064" i="1" s="1"/>
  <c r="J1064" i="1" s="1"/>
  <c r="U1063" i="1" s="1"/>
  <c r="D1063" i="1"/>
  <c r="E1063" i="1" s="1"/>
  <c r="J1063" i="1" s="1"/>
  <c r="U1062" i="1" s="1"/>
  <c r="D1062" i="1"/>
  <c r="E1062" i="1" s="1"/>
  <c r="J1062" i="1" s="1"/>
  <c r="U1061" i="1" s="1"/>
  <c r="D1061" i="1"/>
  <c r="E1061" i="1" s="1"/>
  <c r="J1061" i="1" s="1"/>
  <c r="D1056" i="1"/>
  <c r="E1056" i="1" s="1"/>
  <c r="K1043" i="1" s="1"/>
  <c r="U1052" i="1" s="1"/>
  <c r="D1055" i="1"/>
  <c r="E1055" i="1" s="1"/>
  <c r="K1042" i="1" s="1"/>
  <c r="U1051" i="1" s="1"/>
  <c r="D1054" i="1"/>
  <c r="E1054" i="1" s="1"/>
  <c r="K1041" i="1" s="1"/>
  <c r="U1050" i="1" s="1"/>
  <c r="D1053" i="1"/>
  <c r="E1053" i="1" s="1"/>
  <c r="K1040" i="1" s="1"/>
  <c r="U1049" i="1" s="1"/>
  <c r="D1052" i="1"/>
  <c r="E1052" i="1" s="1"/>
  <c r="K1039" i="1" s="1"/>
  <c r="U1048" i="1" s="1"/>
  <c r="D1051" i="1"/>
  <c r="E1051" i="1" s="1"/>
  <c r="K1038" i="1" s="1"/>
  <c r="U1047" i="1" s="1"/>
  <c r="D1050" i="1"/>
  <c r="E1050" i="1" s="1"/>
  <c r="K1037" i="1" s="1"/>
  <c r="U1046" i="1" s="1"/>
  <c r="D1049" i="1"/>
  <c r="E1049" i="1" s="1"/>
  <c r="K1036" i="1" s="1"/>
  <c r="U1045" i="1" s="1"/>
  <c r="D1048" i="1"/>
  <c r="E1048" i="1" s="1"/>
  <c r="K1035" i="1" s="1"/>
  <c r="U1044" i="1" s="1"/>
  <c r="D1047" i="1"/>
  <c r="E1047" i="1" s="1"/>
  <c r="K1034" i="1" s="1"/>
  <c r="D1043" i="1"/>
  <c r="E1043" i="1" s="1"/>
  <c r="J1043" i="1" s="1"/>
  <c r="U1042" i="1" s="1"/>
  <c r="D1042" i="1"/>
  <c r="E1042" i="1" s="1"/>
  <c r="J1042" i="1" s="1"/>
  <c r="U1041" i="1" s="1"/>
  <c r="D1041" i="1"/>
  <c r="E1041" i="1" s="1"/>
  <c r="J1041" i="1" s="1"/>
  <c r="U1040" i="1" s="1"/>
  <c r="D1040" i="1"/>
  <c r="E1040" i="1" s="1"/>
  <c r="J1040" i="1" s="1"/>
  <c r="U1039" i="1" s="1"/>
  <c r="D1039" i="1"/>
  <c r="E1039" i="1" s="1"/>
  <c r="J1039" i="1" s="1"/>
  <c r="U1038" i="1" s="1"/>
  <c r="D1038" i="1"/>
  <c r="E1038" i="1" s="1"/>
  <c r="J1038" i="1" s="1"/>
  <c r="U1037" i="1" s="1"/>
  <c r="D1037" i="1"/>
  <c r="E1037" i="1" s="1"/>
  <c r="J1037" i="1" s="1"/>
  <c r="U1036" i="1" s="1"/>
  <c r="D1036" i="1"/>
  <c r="E1036" i="1" s="1"/>
  <c r="J1036" i="1" s="1"/>
  <c r="U1035" i="1" s="1"/>
  <c r="D1035" i="1"/>
  <c r="E1035" i="1" s="1"/>
  <c r="J1035" i="1" s="1"/>
  <c r="U1034" i="1" s="1"/>
  <c r="D1034" i="1"/>
  <c r="E1034" i="1" s="1"/>
  <c r="J1034" i="1" s="1"/>
  <c r="D1029" i="1"/>
  <c r="E1029" i="1" s="1"/>
  <c r="K1016" i="1" s="1"/>
  <c r="U1025" i="1" s="1"/>
  <c r="D1028" i="1"/>
  <c r="E1028" i="1" s="1"/>
  <c r="K1015" i="1" s="1"/>
  <c r="U1024" i="1" s="1"/>
  <c r="D1027" i="1"/>
  <c r="E1027" i="1" s="1"/>
  <c r="K1014" i="1" s="1"/>
  <c r="U1023" i="1" s="1"/>
  <c r="D1026" i="1"/>
  <c r="E1026" i="1" s="1"/>
  <c r="K1013" i="1" s="1"/>
  <c r="U1022" i="1" s="1"/>
  <c r="D1025" i="1"/>
  <c r="E1025" i="1" s="1"/>
  <c r="K1012" i="1" s="1"/>
  <c r="U1021" i="1" s="1"/>
  <c r="D1024" i="1"/>
  <c r="E1024" i="1" s="1"/>
  <c r="K1011" i="1" s="1"/>
  <c r="U1020" i="1" s="1"/>
  <c r="D1023" i="1"/>
  <c r="E1023" i="1" s="1"/>
  <c r="K1010" i="1" s="1"/>
  <c r="U1019" i="1" s="1"/>
  <c r="D1022" i="1"/>
  <c r="E1022" i="1" s="1"/>
  <c r="K1009" i="1" s="1"/>
  <c r="U1018" i="1" s="1"/>
  <c r="D1021" i="1"/>
  <c r="E1021" i="1" s="1"/>
  <c r="K1008" i="1" s="1"/>
  <c r="D1020" i="1"/>
  <c r="E1020" i="1" s="1"/>
  <c r="K1007" i="1" s="1"/>
  <c r="U1016" i="1" s="1"/>
  <c r="D1016" i="1"/>
  <c r="E1016" i="1" s="1"/>
  <c r="J1016" i="1" s="1"/>
  <c r="U1015" i="1" s="1"/>
  <c r="D1015" i="1"/>
  <c r="E1015" i="1" s="1"/>
  <c r="J1015" i="1" s="1"/>
  <c r="U1014" i="1" s="1"/>
  <c r="D1014" i="1"/>
  <c r="E1014" i="1" s="1"/>
  <c r="J1014" i="1" s="1"/>
  <c r="U1013" i="1" s="1"/>
  <c r="D1013" i="1"/>
  <c r="E1013" i="1" s="1"/>
  <c r="J1013" i="1" s="1"/>
  <c r="U1012" i="1" s="1"/>
  <c r="D1012" i="1"/>
  <c r="E1012" i="1" s="1"/>
  <c r="J1012" i="1" s="1"/>
  <c r="U1011" i="1" s="1"/>
  <c r="D1011" i="1"/>
  <c r="E1011" i="1" s="1"/>
  <c r="J1011" i="1" s="1"/>
  <c r="U1010" i="1" s="1"/>
  <c r="D1010" i="1"/>
  <c r="E1010" i="1" s="1"/>
  <c r="J1010" i="1" s="1"/>
  <c r="U1009" i="1" s="1"/>
  <c r="D1009" i="1"/>
  <c r="E1009" i="1" s="1"/>
  <c r="J1009" i="1" s="1"/>
  <c r="U1008" i="1" s="1"/>
  <c r="D1008" i="1"/>
  <c r="E1008" i="1" s="1"/>
  <c r="J1008" i="1" s="1"/>
  <c r="U1007" i="1" s="1"/>
  <c r="D1007" i="1"/>
  <c r="E1007" i="1" s="1"/>
  <c r="J1007" i="1" s="1"/>
  <c r="D1002" i="1"/>
  <c r="E1002" i="1" s="1"/>
  <c r="K989" i="1" s="1"/>
  <c r="U998" i="1" s="1"/>
  <c r="D1001" i="1"/>
  <c r="E1001" i="1" s="1"/>
  <c r="K988" i="1" s="1"/>
  <c r="U997" i="1" s="1"/>
  <c r="D1000" i="1"/>
  <c r="E1000" i="1" s="1"/>
  <c r="K987" i="1" s="1"/>
  <c r="U996" i="1" s="1"/>
  <c r="D999" i="1"/>
  <c r="E999" i="1" s="1"/>
  <c r="K986" i="1" s="1"/>
  <c r="U995" i="1" s="1"/>
  <c r="D998" i="1"/>
  <c r="E998" i="1" s="1"/>
  <c r="K985" i="1" s="1"/>
  <c r="U994" i="1" s="1"/>
  <c r="D997" i="1"/>
  <c r="E997" i="1" s="1"/>
  <c r="K984" i="1" s="1"/>
  <c r="U993" i="1" s="1"/>
  <c r="D996" i="1"/>
  <c r="E996" i="1" s="1"/>
  <c r="K983" i="1" s="1"/>
  <c r="U992" i="1" s="1"/>
  <c r="D995" i="1"/>
  <c r="E995" i="1" s="1"/>
  <c r="K982" i="1" s="1"/>
  <c r="U991" i="1" s="1"/>
  <c r="D994" i="1"/>
  <c r="E994" i="1" s="1"/>
  <c r="K981" i="1" s="1"/>
  <c r="U990" i="1" s="1"/>
  <c r="D993" i="1"/>
  <c r="E993" i="1" s="1"/>
  <c r="K980" i="1" s="1"/>
  <c r="D989" i="1"/>
  <c r="E989" i="1" s="1"/>
  <c r="J989" i="1" s="1"/>
  <c r="U988" i="1" s="1"/>
  <c r="D988" i="1"/>
  <c r="E988" i="1" s="1"/>
  <c r="J988" i="1" s="1"/>
  <c r="U987" i="1" s="1"/>
  <c r="D987" i="1"/>
  <c r="E987" i="1" s="1"/>
  <c r="J987" i="1" s="1"/>
  <c r="U986" i="1" s="1"/>
  <c r="D986" i="1"/>
  <c r="E986" i="1" s="1"/>
  <c r="J986" i="1" s="1"/>
  <c r="U985" i="1" s="1"/>
  <c r="D985" i="1"/>
  <c r="E985" i="1" s="1"/>
  <c r="J985" i="1" s="1"/>
  <c r="U984" i="1" s="1"/>
  <c r="D984" i="1"/>
  <c r="E984" i="1" s="1"/>
  <c r="J984" i="1" s="1"/>
  <c r="U983" i="1" s="1"/>
  <c r="D983" i="1"/>
  <c r="E983" i="1" s="1"/>
  <c r="J983" i="1" s="1"/>
  <c r="U982" i="1" s="1"/>
  <c r="D982" i="1"/>
  <c r="E982" i="1" s="1"/>
  <c r="J982" i="1" s="1"/>
  <c r="U981" i="1" s="1"/>
  <c r="D981" i="1"/>
  <c r="E981" i="1" s="1"/>
  <c r="J981" i="1" s="1"/>
  <c r="U980" i="1" s="1"/>
  <c r="D980" i="1"/>
  <c r="E980" i="1" s="1"/>
  <c r="J980" i="1" s="1"/>
  <c r="D975" i="1"/>
  <c r="E975" i="1" s="1"/>
  <c r="K962" i="1" s="1"/>
  <c r="U971" i="1" s="1"/>
  <c r="D974" i="1"/>
  <c r="E974" i="1" s="1"/>
  <c r="K961" i="1" s="1"/>
  <c r="U970" i="1" s="1"/>
  <c r="D973" i="1"/>
  <c r="E973" i="1" s="1"/>
  <c r="K960" i="1" s="1"/>
  <c r="U969" i="1" s="1"/>
  <c r="D972" i="1"/>
  <c r="E972" i="1" s="1"/>
  <c r="K959" i="1" s="1"/>
  <c r="U968" i="1" s="1"/>
  <c r="D971" i="1"/>
  <c r="E971" i="1" s="1"/>
  <c r="K958" i="1" s="1"/>
  <c r="U967" i="1" s="1"/>
  <c r="D970" i="1"/>
  <c r="E970" i="1" s="1"/>
  <c r="K957" i="1" s="1"/>
  <c r="U966" i="1" s="1"/>
  <c r="D969" i="1"/>
  <c r="E969" i="1" s="1"/>
  <c r="K956" i="1" s="1"/>
  <c r="U965" i="1" s="1"/>
  <c r="D968" i="1"/>
  <c r="E968" i="1" s="1"/>
  <c r="K955" i="1" s="1"/>
  <c r="U964" i="1" s="1"/>
  <c r="D967" i="1"/>
  <c r="E967" i="1" s="1"/>
  <c r="K954" i="1" s="1"/>
  <c r="U963" i="1" s="1"/>
  <c r="D966" i="1"/>
  <c r="E966" i="1" s="1"/>
  <c r="K953" i="1" s="1"/>
  <c r="D962" i="1"/>
  <c r="E962" i="1" s="1"/>
  <c r="J962" i="1" s="1"/>
  <c r="U961" i="1" s="1"/>
  <c r="D961" i="1"/>
  <c r="E961" i="1" s="1"/>
  <c r="J961" i="1" s="1"/>
  <c r="U960" i="1" s="1"/>
  <c r="D960" i="1"/>
  <c r="E960" i="1" s="1"/>
  <c r="J960" i="1" s="1"/>
  <c r="U959" i="1" s="1"/>
  <c r="D959" i="1"/>
  <c r="E959" i="1" s="1"/>
  <c r="J959" i="1" s="1"/>
  <c r="U958" i="1" s="1"/>
  <c r="D958" i="1"/>
  <c r="E958" i="1" s="1"/>
  <c r="J958" i="1" s="1"/>
  <c r="U957" i="1" s="1"/>
  <c r="D957" i="1"/>
  <c r="E957" i="1" s="1"/>
  <c r="J957" i="1" s="1"/>
  <c r="U956" i="1" s="1"/>
  <c r="D956" i="1"/>
  <c r="E956" i="1" s="1"/>
  <c r="J956" i="1" s="1"/>
  <c r="U955" i="1" s="1"/>
  <c r="D955" i="1"/>
  <c r="E955" i="1" s="1"/>
  <c r="J955" i="1" s="1"/>
  <c r="U954" i="1" s="1"/>
  <c r="D954" i="1"/>
  <c r="E954" i="1" s="1"/>
  <c r="J954" i="1" s="1"/>
  <c r="U953" i="1" s="1"/>
  <c r="D953" i="1"/>
  <c r="E953" i="1" s="1"/>
  <c r="J953" i="1" s="1"/>
  <c r="D948" i="1"/>
  <c r="E948" i="1" s="1"/>
  <c r="K935" i="1" s="1"/>
  <c r="U944" i="1" s="1"/>
  <c r="D947" i="1"/>
  <c r="E947" i="1" s="1"/>
  <c r="K934" i="1" s="1"/>
  <c r="U943" i="1" s="1"/>
  <c r="D946" i="1"/>
  <c r="E946" i="1" s="1"/>
  <c r="K933" i="1" s="1"/>
  <c r="U942" i="1" s="1"/>
  <c r="D945" i="1"/>
  <c r="E945" i="1" s="1"/>
  <c r="K932" i="1" s="1"/>
  <c r="U941" i="1" s="1"/>
  <c r="D944" i="1"/>
  <c r="E944" i="1" s="1"/>
  <c r="K931" i="1" s="1"/>
  <c r="U940" i="1" s="1"/>
  <c r="D943" i="1"/>
  <c r="E943" i="1" s="1"/>
  <c r="K930" i="1" s="1"/>
  <c r="U939" i="1" s="1"/>
  <c r="D942" i="1"/>
  <c r="E942" i="1" s="1"/>
  <c r="K929" i="1" s="1"/>
  <c r="U938" i="1" s="1"/>
  <c r="D941" i="1"/>
  <c r="E941" i="1" s="1"/>
  <c r="K928" i="1" s="1"/>
  <c r="U937" i="1" s="1"/>
  <c r="D940" i="1"/>
  <c r="E940" i="1" s="1"/>
  <c r="K927" i="1" s="1"/>
  <c r="U936" i="1" s="1"/>
  <c r="D939" i="1"/>
  <c r="E939" i="1" s="1"/>
  <c r="K926" i="1" s="1"/>
  <c r="D935" i="1"/>
  <c r="E935" i="1" s="1"/>
  <c r="J935" i="1" s="1"/>
  <c r="U934" i="1" s="1"/>
  <c r="D934" i="1"/>
  <c r="E934" i="1" s="1"/>
  <c r="J934" i="1" s="1"/>
  <c r="U933" i="1" s="1"/>
  <c r="D933" i="1"/>
  <c r="E933" i="1" s="1"/>
  <c r="J933" i="1" s="1"/>
  <c r="U932" i="1" s="1"/>
  <c r="D932" i="1"/>
  <c r="E932" i="1" s="1"/>
  <c r="J932" i="1" s="1"/>
  <c r="U931" i="1" s="1"/>
  <c r="D931" i="1"/>
  <c r="E931" i="1" s="1"/>
  <c r="J931" i="1" s="1"/>
  <c r="U930" i="1" s="1"/>
  <c r="D930" i="1"/>
  <c r="E930" i="1" s="1"/>
  <c r="J930" i="1" s="1"/>
  <c r="U929" i="1" s="1"/>
  <c r="D929" i="1"/>
  <c r="E929" i="1" s="1"/>
  <c r="J929" i="1" s="1"/>
  <c r="U928" i="1" s="1"/>
  <c r="D928" i="1"/>
  <c r="E928" i="1" s="1"/>
  <c r="J928" i="1" s="1"/>
  <c r="U927" i="1" s="1"/>
  <c r="D927" i="1"/>
  <c r="E927" i="1" s="1"/>
  <c r="J927" i="1" s="1"/>
  <c r="U926" i="1" s="1"/>
  <c r="D926" i="1"/>
  <c r="E926" i="1" s="1"/>
  <c r="J926" i="1" s="1"/>
  <c r="D921" i="1"/>
  <c r="E921" i="1" s="1"/>
  <c r="K908" i="1" s="1"/>
  <c r="U917" i="1" s="1"/>
  <c r="D920" i="1"/>
  <c r="E920" i="1" s="1"/>
  <c r="K907" i="1" s="1"/>
  <c r="U916" i="1" s="1"/>
  <c r="D919" i="1"/>
  <c r="E919" i="1" s="1"/>
  <c r="K906" i="1" s="1"/>
  <c r="U915" i="1" s="1"/>
  <c r="D918" i="1"/>
  <c r="E918" i="1" s="1"/>
  <c r="K905" i="1" s="1"/>
  <c r="U914" i="1" s="1"/>
  <c r="D917" i="1"/>
  <c r="E917" i="1" s="1"/>
  <c r="K904" i="1" s="1"/>
  <c r="U913" i="1" s="1"/>
  <c r="D916" i="1"/>
  <c r="E916" i="1" s="1"/>
  <c r="K903" i="1" s="1"/>
  <c r="U912" i="1" s="1"/>
  <c r="D915" i="1"/>
  <c r="E915" i="1" s="1"/>
  <c r="K902" i="1" s="1"/>
  <c r="U911" i="1" s="1"/>
  <c r="D914" i="1"/>
  <c r="E914" i="1" s="1"/>
  <c r="K901" i="1" s="1"/>
  <c r="U910" i="1" s="1"/>
  <c r="D913" i="1"/>
  <c r="E913" i="1" s="1"/>
  <c r="K900" i="1" s="1"/>
  <c r="U909" i="1" s="1"/>
  <c r="D912" i="1"/>
  <c r="E912" i="1" s="1"/>
  <c r="K899" i="1" s="1"/>
  <c r="D908" i="1"/>
  <c r="E908" i="1" s="1"/>
  <c r="J908" i="1" s="1"/>
  <c r="U907" i="1" s="1"/>
  <c r="D907" i="1"/>
  <c r="E907" i="1" s="1"/>
  <c r="J907" i="1" s="1"/>
  <c r="U906" i="1" s="1"/>
  <c r="D906" i="1"/>
  <c r="E906" i="1" s="1"/>
  <c r="J906" i="1" s="1"/>
  <c r="U905" i="1" s="1"/>
  <c r="D905" i="1"/>
  <c r="E905" i="1" s="1"/>
  <c r="J905" i="1" s="1"/>
  <c r="U904" i="1" s="1"/>
  <c r="D904" i="1"/>
  <c r="E904" i="1" s="1"/>
  <c r="J904" i="1" s="1"/>
  <c r="U903" i="1" s="1"/>
  <c r="E903" i="1"/>
  <c r="J903" i="1" s="1"/>
  <c r="U902" i="1" s="1"/>
  <c r="D903" i="1"/>
  <c r="D902" i="1"/>
  <c r="E902" i="1" s="1"/>
  <c r="J902" i="1" s="1"/>
  <c r="U901" i="1" s="1"/>
  <c r="D901" i="1"/>
  <c r="E901" i="1" s="1"/>
  <c r="J901" i="1" s="1"/>
  <c r="U900" i="1" s="1"/>
  <c r="D900" i="1"/>
  <c r="E900" i="1" s="1"/>
  <c r="J900" i="1" s="1"/>
  <c r="U899" i="1" s="1"/>
  <c r="D899" i="1"/>
  <c r="E899" i="1" s="1"/>
  <c r="J899" i="1" s="1"/>
  <c r="D894" i="1"/>
  <c r="E894" i="1" s="1"/>
  <c r="K881" i="1" s="1"/>
  <c r="U890" i="1" s="1"/>
  <c r="D893" i="1"/>
  <c r="E893" i="1" s="1"/>
  <c r="K880" i="1" s="1"/>
  <c r="U889" i="1" s="1"/>
  <c r="D892" i="1"/>
  <c r="E892" i="1" s="1"/>
  <c r="K879" i="1" s="1"/>
  <c r="U888" i="1" s="1"/>
  <c r="D891" i="1"/>
  <c r="E891" i="1" s="1"/>
  <c r="K878" i="1" s="1"/>
  <c r="U887" i="1" s="1"/>
  <c r="D890" i="1"/>
  <c r="E890" i="1" s="1"/>
  <c r="K877" i="1" s="1"/>
  <c r="U886" i="1" s="1"/>
  <c r="D889" i="1"/>
  <c r="E889" i="1" s="1"/>
  <c r="K876" i="1" s="1"/>
  <c r="U885" i="1" s="1"/>
  <c r="D888" i="1"/>
  <c r="E888" i="1" s="1"/>
  <c r="K875" i="1" s="1"/>
  <c r="U884" i="1" s="1"/>
  <c r="D887" i="1"/>
  <c r="E887" i="1" s="1"/>
  <c r="K874" i="1" s="1"/>
  <c r="U883" i="1" s="1"/>
  <c r="D886" i="1"/>
  <c r="E886" i="1" s="1"/>
  <c r="K873" i="1" s="1"/>
  <c r="U882" i="1" s="1"/>
  <c r="D885" i="1"/>
  <c r="E885" i="1" s="1"/>
  <c r="K872" i="1" s="1"/>
  <c r="D881" i="1"/>
  <c r="E881" i="1" s="1"/>
  <c r="J881" i="1" s="1"/>
  <c r="U880" i="1" s="1"/>
  <c r="D880" i="1"/>
  <c r="E880" i="1" s="1"/>
  <c r="J880" i="1" s="1"/>
  <c r="U879" i="1" s="1"/>
  <c r="D879" i="1"/>
  <c r="E879" i="1" s="1"/>
  <c r="J879" i="1" s="1"/>
  <c r="U878" i="1" s="1"/>
  <c r="D878" i="1"/>
  <c r="E878" i="1" s="1"/>
  <c r="J878" i="1" s="1"/>
  <c r="U877" i="1" s="1"/>
  <c r="D877" i="1"/>
  <c r="E877" i="1" s="1"/>
  <c r="J877" i="1" s="1"/>
  <c r="U876" i="1" s="1"/>
  <c r="D876" i="1"/>
  <c r="E876" i="1" s="1"/>
  <c r="J876" i="1" s="1"/>
  <c r="U875" i="1" s="1"/>
  <c r="D875" i="1"/>
  <c r="E875" i="1" s="1"/>
  <c r="J875" i="1" s="1"/>
  <c r="U874" i="1" s="1"/>
  <c r="D874" i="1"/>
  <c r="E874" i="1" s="1"/>
  <c r="J874" i="1" s="1"/>
  <c r="U873" i="1" s="1"/>
  <c r="D873" i="1"/>
  <c r="E873" i="1" s="1"/>
  <c r="J873" i="1" s="1"/>
  <c r="U872" i="1" s="1"/>
  <c r="D872" i="1"/>
  <c r="E872" i="1" s="1"/>
  <c r="J872" i="1" s="1"/>
  <c r="D867" i="1"/>
  <c r="E867" i="1" s="1"/>
  <c r="K854" i="1" s="1"/>
  <c r="U863" i="1" s="1"/>
  <c r="D866" i="1"/>
  <c r="E866" i="1" s="1"/>
  <c r="K853" i="1" s="1"/>
  <c r="U862" i="1" s="1"/>
  <c r="D865" i="1"/>
  <c r="E865" i="1" s="1"/>
  <c r="K852" i="1" s="1"/>
  <c r="U861" i="1" s="1"/>
  <c r="D864" i="1"/>
  <c r="E864" i="1" s="1"/>
  <c r="K851" i="1" s="1"/>
  <c r="U860" i="1" s="1"/>
  <c r="D863" i="1"/>
  <c r="E863" i="1" s="1"/>
  <c r="K850" i="1" s="1"/>
  <c r="U859" i="1" s="1"/>
  <c r="D862" i="1"/>
  <c r="E862" i="1" s="1"/>
  <c r="K849" i="1" s="1"/>
  <c r="U858" i="1" s="1"/>
  <c r="D861" i="1"/>
  <c r="E861" i="1" s="1"/>
  <c r="K848" i="1" s="1"/>
  <c r="U857" i="1" s="1"/>
  <c r="D860" i="1"/>
  <c r="E860" i="1" s="1"/>
  <c r="K847" i="1" s="1"/>
  <c r="U856" i="1" s="1"/>
  <c r="D859" i="1"/>
  <c r="E859" i="1" s="1"/>
  <c r="K846" i="1" s="1"/>
  <c r="U855" i="1" s="1"/>
  <c r="D858" i="1"/>
  <c r="E858" i="1" s="1"/>
  <c r="K845" i="1" s="1"/>
  <c r="D854" i="1"/>
  <c r="E854" i="1" s="1"/>
  <c r="J854" i="1" s="1"/>
  <c r="U853" i="1" s="1"/>
  <c r="D853" i="1"/>
  <c r="E853" i="1" s="1"/>
  <c r="J853" i="1" s="1"/>
  <c r="U852" i="1" s="1"/>
  <c r="D852" i="1"/>
  <c r="E852" i="1" s="1"/>
  <c r="J852" i="1" s="1"/>
  <c r="U851" i="1" s="1"/>
  <c r="D851" i="1"/>
  <c r="E851" i="1" s="1"/>
  <c r="J851" i="1" s="1"/>
  <c r="U850" i="1" s="1"/>
  <c r="D850" i="1"/>
  <c r="E850" i="1" s="1"/>
  <c r="J850" i="1" s="1"/>
  <c r="U849" i="1" s="1"/>
  <c r="D849" i="1"/>
  <c r="E849" i="1" s="1"/>
  <c r="J849" i="1" s="1"/>
  <c r="U848" i="1" s="1"/>
  <c r="D848" i="1"/>
  <c r="E848" i="1" s="1"/>
  <c r="J848" i="1" s="1"/>
  <c r="U847" i="1" s="1"/>
  <c r="D847" i="1"/>
  <c r="E847" i="1" s="1"/>
  <c r="J847" i="1" s="1"/>
  <c r="U846" i="1" s="1"/>
  <c r="D846" i="1"/>
  <c r="E846" i="1" s="1"/>
  <c r="J846" i="1" s="1"/>
  <c r="U845" i="1" s="1"/>
  <c r="D845" i="1"/>
  <c r="E845" i="1" s="1"/>
  <c r="J845" i="1" s="1"/>
  <c r="D840" i="1"/>
  <c r="E840" i="1" s="1"/>
  <c r="K827" i="1" s="1"/>
  <c r="U836" i="1" s="1"/>
  <c r="D839" i="1"/>
  <c r="E839" i="1" s="1"/>
  <c r="K826" i="1" s="1"/>
  <c r="U835" i="1" s="1"/>
  <c r="D838" i="1"/>
  <c r="E838" i="1" s="1"/>
  <c r="K825" i="1" s="1"/>
  <c r="U834" i="1" s="1"/>
  <c r="D837" i="1"/>
  <c r="E837" i="1" s="1"/>
  <c r="K824" i="1" s="1"/>
  <c r="U833" i="1" s="1"/>
  <c r="D836" i="1"/>
  <c r="E836" i="1" s="1"/>
  <c r="K823" i="1" s="1"/>
  <c r="U832" i="1" s="1"/>
  <c r="D835" i="1"/>
  <c r="E835" i="1" s="1"/>
  <c r="K822" i="1" s="1"/>
  <c r="U831" i="1" s="1"/>
  <c r="D834" i="1"/>
  <c r="E834" i="1" s="1"/>
  <c r="K821" i="1" s="1"/>
  <c r="U830" i="1" s="1"/>
  <c r="D833" i="1"/>
  <c r="E833" i="1" s="1"/>
  <c r="K820" i="1" s="1"/>
  <c r="U829" i="1" s="1"/>
  <c r="D832" i="1"/>
  <c r="E832" i="1" s="1"/>
  <c r="K819" i="1" s="1"/>
  <c r="U828" i="1" s="1"/>
  <c r="D831" i="1"/>
  <c r="E831" i="1" s="1"/>
  <c r="K818" i="1" s="1"/>
  <c r="D827" i="1"/>
  <c r="E827" i="1" s="1"/>
  <c r="J827" i="1" s="1"/>
  <c r="U826" i="1" s="1"/>
  <c r="D826" i="1"/>
  <c r="E826" i="1" s="1"/>
  <c r="J826" i="1" s="1"/>
  <c r="U825" i="1" s="1"/>
  <c r="D825" i="1"/>
  <c r="E825" i="1" s="1"/>
  <c r="J825" i="1" s="1"/>
  <c r="U824" i="1" s="1"/>
  <c r="D824" i="1"/>
  <c r="E824" i="1" s="1"/>
  <c r="J824" i="1" s="1"/>
  <c r="U823" i="1" s="1"/>
  <c r="D823" i="1"/>
  <c r="E823" i="1" s="1"/>
  <c r="J823" i="1" s="1"/>
  <c r="U822" i="1" s="1"/>
  <c r="D822" i="1"/>
  <c r="E822" i="1" s="1"/>
  <c r="J822" i="1" s="1"/>
  <c r="U821" i="1" s="1"/>
  <c r="D821" i="1"/>
  <c r="E821" i="1" s="1"/>
  <c r="J821" i="1" s="1"/>
  <c r="U820" i="1" s="1"/>
  <c r="D820" i="1"/>
  <c r="E820" i="1" s="1"/>
  <c r="J820" i="1" s="1"/>
  <c r="U819" i="1" s="1"/>
  <c r="D819" i="1"/>
  <c r="E819" i="1" s="1"/>
  <c r="J819" i="1" s="1"/>
  <c r="U818" i="1" s="1"/>
  <c r="D818" i="1"/>
  <c r="E818" i="1" s="1"/>
  <c r="J818" i="1" s="1"/>
  <c r="D813" i="1"/>
  <c r="E813" i="1" s="1"/>
  <c r="K800" i="1" s="1"/>
  <c r="U809" i="1" s="1"/>
  <c r="D812" i="1"/>
  <c r="E812" i="1" s="1"/>
  <c r="K799" i="1" s="1"/>
  <c r="U808" i="1" s="1"/>
  <c r="D811" i="1"/>
  <c r="E811" i="1" s="1"/>
  <c r="K798" i="1" s="1"/>
  <c r="U807" i="1" s="1"/>
  <c r="D810" i="1"/>
  <c r="E810" i="1" s="1"/>
  <c r="K797" i="1" s="1"/>
  <c r="U806" i="1" s="1"/>
  <c r="D809" i="1"/>
  <c r="E809" i="1" s="1"/>
  <c r="K796" i="1" s="1"/>
  <c r="U805" i="1" s="1"/>
  <c r="D808" i="1"/>
  <c r="E808" i="1" s="1"/>
  <c r="K795" i="1" s="1"/>
  <c r="U804" i="1" s="1"/>
  <c r="D807" i="1"/>
  <c r="E807" i="1" s="1"/>
  <c r="K794" i="1" s="1"/>
  <c r="U803" i="1" s="1"/>
  <c r="D806" i="1"/>
  <c r="E806" i="1" s="1"/>
  <c r="K793" i="1" s="1"/>
  <c r="U802" i="1" s="1"/>
  <c r="D805" i="1"/>
  <c r="E805" i="1" s="1"/>
  <c r="K792" i="1" s="1"/>
  <c r="U801" i="1" s="1"/>
  <c r="D804" i="1"/>
  <c r="E804" i="1" s="1"/>
  <c r="K791" i="1" s="1"/>
  <c r="D800" i="1"/>
  <c r="E800" i="1" s="1"/>
  <c r="J800" i="1" s="1"/>
  <c r="U799" i="1" s="1"/>
  <c r="D799" i="1"/>
  <c r="E799" i="1" s="1"/>
  <c r="J799" i="1" s="1"/>
  <c r="U798" i="1" s="1"/>
  <c r="D798" i="1"/>
  <c r="E798" i="1" s="1"/>
  <c r="J798" i="1" s="1"/>
  <c r="U797" i="1" s="1"/>
  <c r="D797" i="1"/>
  <c r="E797" i="1" s="1"/>
  <c r="J797" i="1" s="1"/>
  <c r="U796" i="1" s="1"/>
  <c r="D796" i="1"/>
  <c r="E796" i="1" s="1"/>
  <c r="J796" i="1" s="1"/>
  <c r="U795" i="1" s="1"/>
  <c r="D795" i="1"/>
  <c r="E795" i="1" s="1"/>
  <c r="J795" i="1" s="1"/>
  <c r="U794" i="1" s="1"/>
  <c r="D794" i="1"/>
  <c r="E794" i="1" s="1"/>
  <c r="J794" i="1" s="1"/>
  <c r="U793" i="1" s="1"/>
  <c r="D793" i="1"/>
  <c r="E793" i="1" s="1"/>
  <c r="J793" i="1" s="1"/>
  <c r="U792" i="1" s="1"/>
  <c r="D792" i="1"/>
  <c r="E792" i="1" s="1"/>
  <c r="J792" i="1" s="1"/>
  <c r="U791" i="1" s="1"/>
  <c r="D791" i="1"/>
  <c r="E791" i="1" s="1"/>
  <c r="J791" i="1" s="1"/>
  <c r="D786" i="1"/>
  <c r="E786" i="1" s="1"/>
  <c r="K773" i="1" s="1"/>
  <c r="U782" i="1" s="1"/>
  <c r="D785" i="1"/>
  <c r="E785" i="1" s="1"/>
  <c r="K772" i="1" s="1"/>
  <c r="U781" i="1" s="1"/>
  <c r="D784" i="1"/>
  <c r="E784" i="1" s="1"/>
  <c r="K771" i="1" s="1"/>
  <c r="U780" i="1" s="1"/>
  <c r="D783" i="1"/>
  <c r="E783" i="1" s="1"/>
  <c r="K770" i="1" s="1"/>
  <c r="U779" i="1" s="1"/>
  <c r="D782" i="1"/>
  <c r="E782" i="1" s="1"/>
  <c r="K769" i="1" s="1"/>
  <c r="U778" i="1" s="1"/>
  <c r="D781" i="1"/>
  <c r="E781" i="1" s="1"/>
  <c r="K768" i="1" s="1"/>
  <c r="U777" i="1" s="1"/>
  <c r="D780" i="1"/>
  <c r="E780" i="1" s="1"/>
  <c r="K767" i="1" s="1"/>
  <c r="U776" i="1" s="1"/>
  <c r="E779" i="1"/>
  <c r="K766" i="1" s="1"/>
  <c r="U775" i="1" s="1"/>
  <c r="D779" i="1"/>
  <c r="D778" i="1"/>
  <c r="E778" i="1" s="1"/>
  <c r="K765" i="1" s="1"/>
  <c r="D777" i="1"/>
  <c r="E777" i="1" s="1"/>
  <c r="K764" i="1" s="1"/>
  <c r="U773" i="1" s="1"/>
  <c r="D773" i="1"/>
  <c r="E773" i="1" s="1"/>
  <c r="J773" i="1" s="1"/>
  <c r="U772" i="1" s="1"/>
  <c r="D772" i="1"/>
  <c r="E772" i="1" s="1"/>
  <c r="J772" i="1" s="1"/>
  <c r="U771" i="1" s="1"/>
  <c r="D771" i="1"/>
  <c r="E771" i="1" s="1"/>
  <c r="J771" i="1" s="1"/>
  <c r="U770" i="1" s="1"/>
  <c r="D770" i="1"/>
  <c r="E770" i="1" s="1"/>
  <c r="J770" i="1" s="1"/>
  <c r="U769" i="1" s="1"/>
  <c r="D769" i="1"/>
  <c r="E769" i="1" s="1"/>
  <c r="J769" i="1" s="1"/>
  <c r="U768" i="1" s="1"/>
  <c r="D768" i="1"/>
  <c r="E768" i="1" s="1"/>
  <c r="J768" i="1" s="1"/>
  <c r="U767" i="1" s="1"/>
  <c r="D767" i="1"/>
  <c r="E767" i="1" s="1"/>
  <c r="J767" i="1" s="1"/>
  <c r="U766" i="1" s="1"/>
  <c r="D766" i="1"/>
  <c r="E766" i="1" s="1"/>
  <c r="J766" i="1" s="1"/>
  <c r="U765" i="1" s="1"/>
  <c r="D765" i="1"/>
  <c r="E765" i="1" s="1"/>
  <c r="J765" i="1" s="1"/>
  <c r="U764" i="1" s="1"/>
  <c r="D764" i="1"/>
  <c r="E764" i="1" s="1"/>
  <c r="J764" i="1" s="1"/>
  <c r="D759" i="1"/>
  <c r="E759" i="1" s="1"/>
  <c r="K746" i="1" s="1"/>
  <c r="U755" i="1" s="1"/>
  <c r="D758" i="1"/>
  <c r="E758" i="1" s="1"/>
  <c r="K745" i="1" s="1"/>
  <c r="U754" i="1" s="1"/>
  <c r="D757" i="1"/>
  <c r="E757" i="1" s="1"/>
  <c r="K744" i="1" s="1"/>
  <c r="U753" i="1" s="1"/>
  <c r="D756" i="1"/>
  <c r="E756" i="1" s="1"/>
  <c r="K743" i="1" s="1"/>
  <c r="U752" i="1" s="1"/>
  <c r="D755" i="1"/>
  <c r="E755" i="1" s="1"/>
  <c r="K742" i="1" s="1"/>
  <c r="U751" i="1" s="1"/>
  <c r="D754" i="1"/>
  <c r="E754" i="1" s="1"/>
  <c r="K741" i="1" s="1"/>
  <c r="U750" i="1" s="1"/>
  <c r="D753" i="1"/>
  <c r="E753" i="1" s="1"/>
  <c r="K740" i="1" s="1"/>
  <c r="U749" i="1" s="1"/>
  <c r="D752" i="1"/>
  <c r="E752" i="1" s="1"/>
  <c r="K739" i="1" s="1"/>
  <c r="U748" i="1" s="1"/>
  <c r="D751" i="1"/>
  <c r="E751" i="1" s="1"/>
  <c r="K738" i="1" s="1"/>
  <c r="U747" i="1" s="1"/>
  <c r="D750" i="1"/>
  <c r="E750" i="1" s="1"/>
  <c r="K737" i="1" s="1"/>
  <c r="D746" i="1"/>
  <c r="E746" i="1" s="1"/>
  <c r="J746" i="1" s="1"/>
  <c r="U745" i="1" s="1"/>
  <c r="D745" i="1"/>
  <c r="E745" i="1" s="1"/>
  <c r="J745" i="1" s="1"/>
  <c r="U744" i="1" s="1"/>
  <c r="D744" i="1"/>
  <c r="E744" i="1" s="1"/>
  <c r="J744" i="1" s="1"/>
  <c r="U743" i="1" s="1"/>
  <c r="D743" i="1"/>
  <c r="E743" i="1" s="1"/>
  <c r="J743" i="1" s="1"/>
  <c r="U742" i="1" s="1"/>
  <c r="D742" i="1"/>
  <c r="E742" i="1" s="1"/>
  <c r="J742" i="1" s="1"/>
  <c r="U741" i="1" s="1"/>
  <c r="D741" i="1"/>
  <c r="E741" i="1" s="1"/>
  <c r="J741" i="1" s="1"/>
  <c r="U740" i="1" s="1"/>
  <c r="D740" i="1"/>
  <c r="E740" i="1" s="1"/>
  <c r="J740" i="1" s="1"/>
  <c r="U739" i="1" s="1"/>
  <c r="D739" i="1"/>
  <c r="E739" i="1" s="1"/>
  <c r="J739" i="1" s="1"/>
  <c r="U738" i="1" s="1"/>
  <c r="D738" i="1"/>
  <c r="E738" i="1" s="1"/>
  <c r="J738" i="1" s="1"/>
  <c r="U737" i="1" s="1"/>
  <c r="D737" i="1"/>
  <c r="E737" i="1" s="1"/>
  <c r="J737" i="1" s="1"/>
  <c r="D732" i="1"/>
  <c r="E732" i="1" s="1"/>
  <c r="K719" i="1" s="1"/>
  <c r="U728" i="1" s="1"/>
  <c r="D731" i="1"/>
  <c r="E731" i="1" s="1"/>
  <c r="K718" i="1" s="1"/>
  <c r="U727" i="1" s="1"/>
  <c r="D730" i="1"/>
  <c r="E730" i="1" s="1"/>
  <c r="K717" i="1" s="1"/>
  <c r="U726" i="1" s="1"/>
  <c r="D729" i="1"/>
  <c r="E729" i="1" s="1"/>
  <c r="K716" i="1" s="1"/>
  <c r="U725" i="1" s="1"/>
  <c r="D728" i="1"/>
  <c r="E728" i="1" s="1"/>
  <c r="K715" i="1" s="1"/>
  <c r="U724" i="1" s="1"/>
  <c r="D727" i="1"/>
  <c r="E727" i="1" s="1"/>
  <c r="K714" i="1" s="1"/>
  <c r="U723" i="1" s="1"/>
  <c r="D726" i="1"/>
  <c r="E726" i="1" s="1"/>
  <c r="K713" i="1" s="1"/>
  <c r="U722" i="1" s="1"/>
  <c r="D725" i="1"/>
  <c r="E725" i="1" s="1"/>
  <c r="K712" i="1" s="1"/>
  <c r="U721" i="1" s="1"/>
  <c r="D724" i="1"/>
  <c r="E724" i="1" s="1"/>
  <c r="K711" i="1" s="1"/>
  <c r="U720" i="1" s="1"/>
  <c r="D723" i="1"/>
  <c r="E723" i="1" s="1"/>
  <c r="K710" i="1" s="1"/>
  <c r="D719" i="1"/>
  <c r="E719" i="1" s="1"/>
  <c r="J719" i="1" s="1"/>
  <c r="U718" i="1" s="1"/>
  <c r="D718" i="1"/>
  <c r="E718" i="1" s="1"/>
  <c r="J718" i="1" s="1"/>
  <c r="U717" i="1" s="1"/>
  <c r="D717" i="1"/>
  <c r="E717" i="1" s="1"/>
  <c r="J717" i="1" s="1"/>
  <c r="U716" i="1" s="1"/>
  <c r="D716" i="1"/>
  <c r="E716" i="1" s="1"/>
  <c r="J716" i="1" s="1"/>
  <c r="U715" i="1" s="1"/>
  <c r="D715" i="1"/>
  <c r="E715" i="1" s="1"/>
  <c r="J715" i="1" s="1"/>
  <c r="U714" i="1" s="1"/>
  <c r="D714" i="1"/>
  <c r="E714" i="1" s="1"/>
  <c r="J714" i="1" s="1"/>
  <c r="U713" i="1" s="1"/>
  <c r="D713" i="1"/>
  <c r="E713" i="1" s="1"/>
  <c r="J713" i="1" s="1"/>
  <c r="U712" i="1" s="1"/>
  <c r="D712" i="1"/>
  <c r="E712" i="1" s="1"/>
  <c r="J712" i="1" s="1"/>
  <c r="U711" i="1" s="1"/>
  <c r="D711" i="1"/>
  <c r="E711" i="1" s="1"/>
  <c r="J711" i="1" s="1"/>
  <c r="U710" i="1" s="1"/>
  <c r="D710" i="1"/>
  <c r="E710" i="1" s="1"/>
  <c r="J710" i="1" s="1"/>
  <c r="D705" i="1"/>
  <c r="E705" i="1" s="1"/>
  <c r="K692" i="1" s="1"/>
  <c r="U701" i="1" s="1"/>
  <c r="D704" i="1"/>
  <c r="E704" i="1" s="1"/>
  <c r="K691" i="1" s="1"/>
  <c r="U700" i="1" s="1"/>
  <c r="D703" i="1"/>
  <c r="E703" i="1" s="1"/>
  <c r="K690" i="1" s="1"/>
  <c r="U699" i="1" s="1"/>
  <c r="D702" i="1"/>
  <c r="E702" i="1" s="1"/>
  <c r="K689" i="1" s="1"/>
  <c r="U698" i="1" s="1"/>
  <c r="D701" i="1"/>
  <c r="E701" i="1" s="1"/>
  <c r="K688" i="1" s="1"/>
  <c r="U697" i="1" s="1"/>
  <c r="D700" i="1"/>
  <c r="E700" i="1" s="1"/>
  <c r="K687" i="1" s="1"/>
  <c r="U696" i="1" s="1"/>
  <c r="D699" i="1"/>
  <c r="E699" i="1" s="1"/>
  <c r="K686" i="1" s="1"/>
  <c r="U695" i="1" s="1"/>
  <c r="D698" i="1"/>
  <c r="E698" i="1" s="1"/>
  <c r="K685" i="1" s="1"/>
  <c r="U694" i="1" s="1"/>
  <c r="D697" i="1"/>
  <c r="E697" i="1" s="1"/>
  <c r="K684" i="1" s="1"/>
  <c r="U693" i="1" s="1"/>
  <c r="D696" i="1"/>
  <c r="E696" i="1" s="1"/>
  <c r="K683" i="1" s="1"/>
  <c r="D692" i="1"/>
  <c r="E692" i="1" s="1"/>
  <c r="J692" i="1" s="1"/>
  <c r="U691" i="1" s="1"/>
  <c r="D691" i="1"/>
  <c r="E691" i="1" s="1"/>
  <c r="J691" i="1" s="1"/>
  <c r="U690" i="1" s="1"/>
  <c r="D690" i="1"/>
  <c r="E690" i="1" s="1"/>
  <c r="J690" i="1" s="1"/>
  <c r="U689" i="1" s="1"/>
  <c r="D689" i="1"/>
  <c r="E689" i="1" s="1"/>
  <c r="J689" i="1" s="1"/>
  <c r="U688" i="1" s="1"/>
  <c r="D688" i="1"/>
  <c r="E688" i="1" s="1"/>
  <c r="J688" i="1" s="1"/>
  <c r="U687" i="1" s="1"/>
  <c r="D687" i="1"/>
  <c r="E687" i="1" s="1"/>
  <c r="J687" i="1" s="1"/>
  <c r="U686" i="1" s="1"/>
  <c r="D686" i="1"/>
  <c r="E686" i="1" s="1"/>
  <c r="J686" i="1" s="1"/>
  <c r="U685" i="1" s="1"/>
  <c r="D685" i="1"/>
  <c r="E685" i="1" s="1"/>
  <c r="J685" i="1" s="1"/>
  <c r="U684" i="1" s="1"/>
  <c r="D684" i="1"/>
  <c r="E684" i="1" s="1"/>
  <c r="J684" i="1" s="1"/>
  <c r="U683" i="1" s="1"/>
  <c r="D683" i="1"/>
  <c r="E683" i="1" s="1"/>
  <c r="J683" i="1" s="1"/>
  <c r="D678" i="1"/>
  <c r="E678" i="1" s="1"/>
  <c r="K665" i="1" s="1"/>
  <c r="U674" i="1" s="1"/>
  <c r="D677" i="1"/>
  <c r="E677" i="1" s="1"/>
  <c r="K664" i="1" s="1"/>
  <c r="U673" i="1" s="1"/>
  <c r="D676" i="1"/>
  <c r="E676" i="1" s="1"/>
  <c r="K663" i="1" s="1"/>
  <c r="U672" i="1" s="1"/>
  <c r="D675" i="1"/>
  <c r="E675" i="1" s="1"/>
  <c r="K662" i="1" s="1"/>
  <c r="U671" i="1" s="1"/>
  <c r="D674" i="1"/>
  <c r="E674" i="1" s="1"/>
  <c r="K661" i="1" s="1"/>
  <c r="U670" i="1" s="1"/>
  <c r="D673" i="1"/>
  <c r="E673" i="1" s="1"/>
  <c r="K660" i="1" s="1"/>
  <c r="U669" i="1" s="1"/>
  <c r="D672" i="1"/>
  <c r="E672" i="1" s="1"/>
  <c r="K659" i="1" s="1"/>
  <c r="U668" i="1" s="1"/>
  <c r="D671" i="1"/>
  <c r="E671" i="1" s="1"/>
  <c r="K658" i="1" s="1"/>
  <c r="U667" i="1" s="1"/>
  <c r="D670" i="1"/>
  <c r="E670" i="1" s="1"/>
  <c r="K657" i="1" s="1"/>
  <c r="U666" i="1" s="1"/>
  <c r="D669" i="1"/>
  <c r="E669" i="1" s="1"/>
  <c r="K656" i="1" s="1"/>
  <c r="D665" i="1"/>
  <c r="E665" i="1" s="1"/>
  <c r="J665" i="1" s="1"/>
  <c r="U664" i="1" s="1"/>
  <c r="D664" i="1"/>
  <c r="E664" i="1" s="1"/>
  <c r="J664" i="1" s="1"/>
  <c r="U663" i="1" s="1"/>
  <c r="D663" i="1"/>
  <c r="E663" i="1" s="1"/>
  <c r="J663" i="1" s="1"/>
  <c r="U662" i="1" s="1"/>
  <c r="D662" i="1"/>
  <c r="E662" i="1" s="1"/>
  <c r="J662" i="1" s="1"/>
  <c r="U661" i="1" s="1"/>
  <c r="D661" i="1"/>
  <c r="E661" i="1" s="1"/>
  <c r="J661" i="1" s="1"/>
  <c r="U660" i="1" s="1"/>
  <c r="D660" i="1"/>
  <c r="E660" i="1" s="1"/>
  <c r="J660" i="1" s="1"/>
  <c r="U659" i="1" s="1"/>
  <c r="D659" i="1"/>
  <c r="E659" i="1" s="1"/>
  <c r="J659" i="1" s="1"/>
  <c r="U658" i="1" s="1"/>
  <c r="D658" i="1"/>
  <c r="E658" i="1" s="1"/>
  <c r="J658" i="1" s="1"/>
  <c r="U657" i="1" s="1"/>
  <c r="D657" i="1"/>
  <c r="E657" i="1" s="1"/>
  <c r="J657" i="1" s="1"/>
  <c r="U656" i="1" s="1"/>
  <c r="D656" i="1"/>
  <c r="E656" i="1" s="1"/>
  <c r="J656" i="1" s="1"/>
  <c r="D651" i="1"/>
  <c r="E651" i="1" s="1"/>
  <c r="K638" i="1" s="1"/>
  <c r="U647" i="1" s="1"/>
  <c r="D650" i="1"/>
  <c r="E650" i="1" s="1"/>
  <c r="K637" i="1" s="1"/>
  <c r="U646" i="1" s="1"/>
  <c r="D649" i="1"/>
  <c r="E649" i="1" s="1"/>
  <c r="K636" i="1" s="1"/>
  <c r="U645" i="1" s="1"/>
  <c r="D648" i="1"/>
  <c r="E648" i="1" s="1"/>
  <c r="K635" i="1" s="1"/>
  <c r="U644" i="1" s="1"/>
  <c r="D647" i="1"/>
  <c r="E647" i="1" s="1"/>
  <c r="K634" i="1" s="1"/>
  <c r="U643" i="1" s="1"/>
  <c r="D646" i="1"/>
  <c r="E646" i="1" s="1"/>
  <c r="K633" i="1" s="1"/>
  <c r="U642" i="1" s="1"/>
  <c r="D645" i="1"/>
  <c r="E645" i="1" s="1"/>
  <c r="K632" i="1" s="1"/>
  <c r="U641" i="1" s="1"/>
  <c r="D644" i="1"/>
  <c r="E644" i="1" s="1"/>
  <c r="K631" i="1" s="1"/>
  <c r="U640" i="1" s="1"/>
  <c r="D643" i="1"/>
  <c r="E643" i="1" s="1"/>
  <c r="K630" i="1" s="1"/>
  <c r="U639" i="1" s="1"/>
  <c r="D642" i="1"/>
  <c r="E642" i="1" s="1"/>
  <c r="K629" i="1" s="1"/>
  <c r="D638" i="1"/>
  <c r="E638" i="1" s="1"/>
  <c r="J638" i="1" s="1"/>
  <c r="U637" i="1" s="1"/>
  <c r="D637" i="1"/>
  <c r="E637" i="1" s="1"/>
  <c r="J637" i="1" s="1"/>
  <c r="U636" i="1" s="1"/>
  <c r="D636" i="1"/>
  <c r="E636" i="1" s="1"/>
  <c r="J636" i="1" s="1"/>
  <c r="U635" i="1" s="1"/>
  <c r="D635" i="1"/>
  <c r="E635" i="1" s="1"/>
  <c r="J635" i="1" s="1"/>
  <c r="U634" i="1" s="1"/>
  <c r="D634" i="1"/>
  <c r="E634" i="1" s="1"/>
  <c r="J634" i="1" s="1"/>
  <c r="U633" i="1" s="1"/>
  <c r="D633" i="1"/>
  <c r="E633" i="1" s="1"/>
  <c r="J633" i="1" s="1"/>
  <c r="U632" i="1" s="1"/>
  <c r="D632" i="1"/>
  <c r="E632" i="1" s="1"/>
  <c r="J632" i="1" s="1"/>
  <c r="U631" i="1" s="1"/>
  <c r="D631" i="1"/>
  <c r="E631" i="1" s="1"/>
  <c r="J631" i="1" s="1"/>
  <c r="U630" i="1" s="1"/>
  <c r="D630" i="1"/>
  <c r="E630" i="1" s="1"/>
  <c r="J630" i="1" s="1"/>
  <c r="U629" i="1" s="1"/>
  <c r="D629" i="1"/>
  <c r="E629" i="1" s="1"/>
  <c r="J629" i="1" s="1"/>
  <c r="D624" i="1"/>
  <c r="E624" i="1" s="1"/>
  <c r="K611" i="1" s="1"/>
  <c r="U620" i="1" s="1"/>
  <c r="D623" i="1"/>
  <c r="E623" i="1" s="1"/>
  <c r="K610" i="1" s="1"/>
  <c r="U619" i="1" s="1"/>
  <c r="D622" i="1"/>
  <c r="E622" i="1" s="1"/>
  <c r="K609" i="1" s="1"/>
  <c r="U618" i="1" s="1"/>
  <c r="D621" i="1"/>
  <c r="E621" i="1" s="1"/>
  <c r="K608" i="1" s="1"/>
  <c r="U617" i="1" s="1"/>
  <c r="D620" i="1"/>
  <c r="E620" i="1" s="1"/>
  <c r="K607" i="1" s="1"/>
  <c r="U616" i="1" s="1"/>
  <c r="D619" i="1"/>
  <c r="E619" i="1" s="1"/>
  <c r="K606" i="1" s="1"/>
  <c r="U615" i="1" s="1"/>
  <c r="D618" i="1"/>
  <c r="E618" i="1" s="1"/>
  <c r="K605" i="1" s="1"/>
  <c r="U614" i="1" s="1"/>
  <c r="D617" i="1"/>
  <c r="E617" i="1" s="1"/>
  <c r="K604" i="1" s="1"/>
  <c r="U613" i="1" s="1"/>
  <c r="D616" i="1"/>
  <c r="E616" i="1" s="1"/>
  <c r="K603" i="1" s="1"/>
  <c r="U612" i="1" s="1"/>
  <c r="D615" i="1"/>
  <c r="E615" i="1" s="1"/>
  <c r="K602" i="1" s="1"/>
  <c r="D611" i="1"/>
  <c r="E611" i="1" s="1"/>
  <c r="J611" i="1" s="1"/>
  <c r="U610" i="1" s="1"/>
  <c r="D610" i="1"/>
  <c r="E610" i="1" s="1"/>
  <c r="J610" i="1" s="1"/>
  <c r="U609" i="1" s="1"/>
  <c r="D609" i="1"/>
  <c r="E609" i="1" s="1"/>
  <c r="J609" i="1" s="1"/>
  <c r="U608" i="1" s="1"/>
  <c r="D608" i="1"/>
  <c r="E608" i="1" s="1"/>
  <c r="J608" i="1" s="1"/>
  <c r="U607" i="1" s="1"/>
  <c r="D607" i="1"/>
  <c r="E607" i="1" s="1"/>
  <c r="J607" i="1" s="1"/>
  <c r="U606" i="1" s="1"/>
  <c r="D606" i="1"/>
  <c r="E606" i="1" s="1"/>
  <c r="J606" i="1" s="1"/>
  <c r="U605" i="1" s="1"/>
  <c r="D605" i="1"/>
  <c r="E605" i="1" s="1"/>
  <c r="J605" i="1" s="1"/>
  <c r="U604" i="1" s="1"/>
  <c r="D604" i="1"/>
  <c r="E604" i="1" s="1"/>
  <c r="J604" i="1" s="1"/>
  <c r="U603" i="1" s="1"/>
  <c r="D603" i="1"/>
  <c r="E603" i="1" s="1"/>
  <c r="J603" i="1" s="1"/>
  <c r="U602" i="1" s="1"/>
  <c r="E602" i="1"/>
  <c r="J602" i="1" s="1"/>
  <c r="D602" i="1"/>
  <c r="D597" i="1"/>
  <c r="E597" i="1" s="1"/>
  <c r="K584" i="1" s="1"/>
  <c r="U593" i="1" s="1"/>
  <c r="D596" i="1"/>
  <c r="E596" i="1" s="1"/>
  <c r="K583" i="1" s="1"/>
  <c r="U592" i="1" s="1"/>
  <c r="D595" i="1"/>
  <c r="E595" i="1" s="1"/>
  <c r="K582" i="1" s="1"/>
  <c r="U591" i="1" s="1"/>
  <c r="D594" i="1"/>
  <c r="E594" i="1" s="1"/>
  <c r="K581" i="1" s="1"/>
  <c r="U590" i="1" s="1"/>
  <c r="D593" i="1"/>
  <c r="E593" i="1" s="1"/>
  <c r="K580" i="1" s="1"/>
  <c r="U589" i="1" s="1"/>
  <c r="D592" i="1"/>
  <c r="E592" i="1" s="1"/>
  <c r="K579" i="1" s="1"/>
  <c r="U588" i="1" s="1"/>
  <c r="D591" i="1"/>
  <c r="E591" i="1" s="1"/>
  <c r="K578" i="1" s="1"/>
  <c r="U587" i="1" s="1"/>
  <c r="D590" i="1"/>
  <c r="E590" i="1" s="1"/>
  <c r="K577" i="1" s="1"/>
  <c r="U586" i="1" s="1"/>
  <c r="D589" i="1"/>
  <c r="E589" i="1" s="1"/>
  <c r="K576" i="1" s="1"/>
  <c r="U585" i="1" s="1"/>
  <c r="D588" i="1"/>
  <c r="E588" i="1" s="1"/>
  <c r="K575" i="1" s="1"/>
  <c r="D584" i="1"/>
  <c r="E584" i="1" s="1"/>
  <c r="J584" i="1" s="1"/>
  <c r="U583" i="1" s="1"/>
  <c r="D583" i="1"/>
  <c r="E583" i="1" s="1"/>
  <c r="J583" i="1" s="1"/>
  <c r="U582" i="1" s="1"/>
  <c r="D582" i="1"/>
  <c r="E582" i="1" s="1"/>
  <c r="J582" i="1" s="1"/>
  <c r="U581" i="1" s="1"/>
  <c r="D581" i="1"/>
  <c r="E581" i="1" s="1"/>
  <c r="J581" i="1" s="1"/>
  <c r="U580" i="1" s="1"/>
  <c r="D580" i="1"/>
  <c r="E580" i="1" s="1"/>
  <c r="J580" i="1" s="1"/>
  <c r="U579" i="1" s="1"/>
  <c r="D579" i="1"/>
  <c r="E579" i="1" s="1"/>
  <c r="J579" i="1" s="1"/>
  <c r="U578" i="1" s="1"/>
  <c r="D578" i="1"/>
  <c r="E578" i="1" s="1"/>
  <c r="J578" i="1" s="1"/>
  <c r="U577" i="1" s="1"/>
  <c r="D577" i="1"/>
  <c r="E577" i="1" s="1"/>
  <c r="J577" i="1" s="1"/>
  <c r="U576" i="1" s="1"/>
  <c r="D576" i="1"/>
  <c r="E576" i="1" s="1"/>
  <c r="J576" i="1" s="1"/>
  <c r="U575" i="1" s="1"/>
  <c r="D575" i="1"/>
  <c r="E575" i="1" s="1"/>
  <c r="J575" i="1" s="1"/>
  <c r="D570" i="1"/>
  <c r="E570" i="1" s="1"/>
  <c r="K557" i="1" s="1"/>
  <c r="U566" i="1" s="1"/>
  <c r="D569" i="1"/>
  <c r="E569" i="1" s="1"/>
  <c r="K556" i="1" s="1"/>
  <c r="U565" i="1" s="1"/>
  <c r="D568" i="1"/>
  <c r="E568" i="1" s="1"/>
  <c r="K555" i="1" s="1"/>
  <c r="U564" i="1" s="1"/>
  <c r="D567" i="1"/>
  <c r="E567" i="1" s="1"/>
  <c r="K554" i="1" s="1"/>
  <c r="U563" i="1" s="1"/>
  <c r="D566" i="1"/>
  <c r="E566" i="1" s="1"/>
  <c r="K553" i="1" s="1"/>
  <c r="U562" i="1" s="1"/>
  <c r="D565" i="1"/>
  <c r="E565" i="1" s="1"/>
  <c r="K552" i="1" s="1"/>
  <c r="U561" i="1" s="1"/>
  <c r="D564" i="1"/>
  <c r="E564" i="1" s="1"/>
  <c r="K551" i="1" s="1"/>
  <c r="U560" i="1" s="1"/>
  <c r="E563" i="1"/>
  <c r="K550" i="1" s="1"/>
  <c r="U559" i="1" s="1"/>
  <c r="D563" i="1"/>
  <c r="D562" i="1"/>
  <c r="E562" i="1" s="1"/>
  <c r="K549" i="1" s="1"/>
  <c r="U558" i="1" s="1"/>
  <c r="D561" i="1"/>
  <c r="E561" i="1" s="1"/>
  <c r="K548" i="1" s="1"/>
  <c r="D557" i="1"/>
  <c r="E557" i="1" s="1"/>
  <c r="J557" i="1" s="1"/>
  <c r="U556" i="1" s="1"/>
  <c r="D556" i="1"/>
  <c r="E556" i="1" s="1"/>
  <c r="J556" i="1" s="1"/>
  <c r="U555" i="1" s="1"/>
  <c r="D555" i="1"/>
  <c r="E555" i="1" s="1"/>
  <c r="J555" i="1" s="1"/>
  <c r="U554" i="1" s="1"/>
  <c r="D554" i="1"/>
  <c r="E554" i="1" s="1"/>
  <c r="J554" i="1" s="1"/>
  <c r="U553" i="1" s="1"/>
  <c r="D553" i="1"/>
  <c r="E553" i="1" s="1"/>
  <c r="J553" i="1" s="1"/>
  <c r="U552" i="1" s="1"/>
  <c r="D552" i="1"/>
  <c r="E552" i="1" s="1"/>
  <c r="J552" i="1" s="1"/>
  <c r="U551" i="1" s="1"/>
  <c r="E551" i="1"/>
  <c r="J551" i="1" s="1"/>
  <c r="U550" i="1" s="1"/>
  <c r="D551" i="1"/>
  <c r="D550" i="1"/>
  <c r="E550" i="1" s="1"/>
  <c r="J550" i="1" s="1"/>
  <c r="U549" i="1" s="1"/>
  <c r="D549" i="1"/>
  <c r="E549" i="1" s="1"/>
  <c r="J549" i="1" s="1"/>
  <c r="U548" i="1" s="1"/>
  <c r="D548" i="1"/>
  <c r="E548" i="1" s="1"/>
  <c r="J548" i="1" s="1"/>
  <c r="D539" i="1"/>
  <c r="E539" i="1" s="1"/>
  <c r="K526" i="1" s="1"/>
  <c r="U535" i="1" s="1"/>
  <c r="D538" i="1"/>
  <c r="E538" i="1" s="1"/>
  <c r="K525" i="1" s="1"/>
  <c r="U534" i="1" s="1"/>
  <c r="D537" i="1"/>
  <c r="E537" i="1" s="1"/>
  <c r="K524" i="1" s="1"/>
  <c r="U533" i="1" s="1"/>
  <c r="D536" i="1"/>
  <c r="E536" i="1" s="1"/>
  <c r="K523" i="1" s="1"/>
  <c r="U532" i="1" s="1"/>
  <c r="D535" i="1"/>
  <c r="E535" i="1" s="1"/>
  <c r="K522" i="1" s="1"/>
  <c r="U531" i="1" s="1"/>
  <c r="D534" i="1"/>
  <c r="E534" i="1" s="1"/>
  <c r="K521" i="1" s="1"/>
  <c r="U530" i="1" s="1"/>
  <c r="D533" i="1"/>
  <c r="E533" i="1" s="1"/>
  <c r="K520" i="1" s="1"/>
  <c r="U529" i="1" s="1"/>
  <c r="D532" i="1"/>
  <c r="E532" i="1" s="1"/>
  <c r="K519" i="1" s="1"/>
  <c r="U528" i="1" s="1"/>
  <c r="D531" i="1"/>
  <c r="E531" i="1" s="1"/>
  <c r="K518" i="1" s="1"/>
  <c r="U527" i="1" s="1"/>
  <c r="D530" i="1"/>
  <c r="E530" i="1" s="1"/>
  <c r="K517" i="1" s="1"/>
  <c r="D526" i="1"/>
  <c r="E526" i="1" s="1"/>
  <c r="J526" i="1" s="1"/>
  <c r="U525" i="1" s="1"/>
  <c r="D525" i="1"/>
  <c r="E525" i="1" s="1"/>
  <c r="J525" i="1" s="1"/>
  <c r="U524" i="1" s="1"/>
  <c r="D524" i="1"/>
  <c r="E524" i="1" s="1"/>
  <c r="J524" i="1" s="1"/>
  <c r="U523" i="1" s="1"/>
  <c r="E523" i="1"/>
  <c r="J523" i="1" s="1"/>
  <c r="U522" i="1" s="1"/>
  <c r="D523" i="1"/>
  <c r="D522" i="1"/>
  <c r="E522" i="1" s="1"/>
  <c r="J522" i="1" s="1"/>
  <c r="U521" i="1" s="1"/>
  <c r="D521" i="1"/>
  <c r="E521" i="1" s="1"/>
  <c r="J521" i="1" s="1"/>
  <c r="U520" i="1" s="1"/>
  <c r="D520" i="1"/>
  <c r="E520" i="1" s="1"/>
  <c r="J520" i="1" s="1"/>
  <c r="U519" i="1" s="1"/>
  <c r="D519" i="1"/>
  <c r="E519" i="1" s="1"/>
  <c r="J519" i="1" s="1"/>
  <c r="U518" i="1" s="1"/>
  <c r="D518" i="1"/>
  <c r="E518" i="1" s="1"/>
  <c r="J518" i="1" s="1"/>
  <c r="U517" i="1" s="1"/>
  <c r="D517" i="1"/>
  <c r="E517" i="1" s="1"/>
  <c r="J517" i="1" s="1"/>
  <c r="D512" i="1"/>
  <c r="E512" i="1" s="1"/>
  <c r="K499" i="1" s="1"/>
  <c r="U508" i="1" s="1"/>
  <c r="D511" i="1"/>
  <c r="E511" i="1" s="1"/>
  <c r="K498" i="1" s="1"/>
  <c r="U507" i="1" s="1"/>
  <c r="D510" i="1"/>
  <c r="E510" i="1" s="1"/>
  <c r="K497" i="1" s="1"/>
  <c r="U506" i="1" s="1"/>
  <c r="D509" i="1"/>
  <c r="E509" i="1" s="1"/>
  <c r="K496" i="1" s="1"/>
  <c r="U505" i="1" s="1"/>
  <c r="D508" i="1"/>
  <c r="E508" i="1" s="1"/>
  <c r="K495" i="1" s="1"/>
  <c r="U504" i="1" s="1"/>
  <c r="D507" i="1"/>
  <c r="E507" i="1" s="1"/>
  <c r="K494" i="1" s="1"/>
  <c r="U503" i="1" s="1"/>
  <c r="D506" i="1"/>
  <c r="E506" i="1" s="1"/>
  <c r="K493" i="1" s="1"/>
  <c r="U502" i="1" s="1"/>
  <c r="D505" i="1"/>
  <c r="E505" i="1" s="1"/>
  <c r="K492" i="1" s="1"/>
  <c r="U501" i="1" s="1"/>
  <c r="D504" i="1"/>
  <c r="E504" i="1" s="1"/>
  <c r="K491" i="1" s="1"/>
  <c r="U500" i="1" s="1"/>
  <c r="D503" i="1"/>
  <c r="E503" i="1" s="1"/>
  <c r="K490" i="1" s="1"/>
  <c r="D499" i="1"/>
  <c r="E499" i="1" s="1"/>
  <c r="J499" i="1" s="1"/>
  <c r="U498" i="1" s="1"/>
  <c r="D498" i="1"/>
  <c r="E498" i="1" s="1"/>
  <c r="J498" i="1" s="1"/>
  <c r="U497" i="1" s="1"/>
  <c r="D497" i="1"/>
  <c r="E497" i="1" s="1"/>
  <c r="J497" i="1" s="1"/>
  <c r="U496" i="1" s="1"/>
  <c r="D496" i="1"/>
  <c r="E496" i="1" s="1"/>
  <c r="J496" i="1" s="1"/>
  <c r="U495" i="1" s="1"/>
  <c r="D495" i="1"/>
  <c r="E495" i="1" s="1"/>
  <c r="J495" i="1" s="1"/>
  <c r="U494" i="1" s="1"/>
  <c r="D494" i="1"/>
  <c r="E494" i="1" s="1"/>
  <c r="J494" i="1" s="1"/>
  <c r="U493" i="1" s="1"/>
  <c r="D493" i="1"/>
  <c r="E493" i="1" s="1"/>
  <c r="J493" i="1" s="1"/>
  <c r="U492" i="1" s="1"/>
  <c r="D492" i="1"/>
  <c r="E492" i="1" s="1"/>
  <c r="J492" i="1" s="1"/>
  <c r="U491" i="1" s="1"/>
  <c r="D491" i="1"/>
  <c r="E491" i="1" s="1"/>
  <c r="J491" i="1" s="1"/>
  <c r="U490" i="1" s="1"/>
  <c r="D490" i="1"/>
  <c r="E490" i="1" s="1"/>
  <c r="J490" i="1" s="1"/>
  <c r="D485" i="1"/>
  <c r="E485" i="1" s="1"/>
  <c r="K472" i="1" s="1"/>
  <c r="U481" i="1" s="1"/>
  <c r="D484" i="1"/>
  <c r="E484" i="1" s="1"/>
  <c r="K471" i="1" s="1"/>
  <c r="U480" i="1" s="1"/>
  <c r="D483" i="1"/>
  <c r="E483" i="1" s="1"/>
  <c r="K470" i="1" s="1"/>
  <c r="U479" i="1" s="1"/>
  <c r="D482" i="1"/>
  <c r="E482" i="1" s="1"/>
  <c r="K469" i="1" s="1"/>
  <c r="U478" i="1" s="1"/>
  <c r="D481" i="1"/>
  <c r="E481" i="1" s="1"/>
  <c r="K468" i="1" s="1"/>
  <c r="U477" i="1" s="1"/>
  <c r="D480" i="1"/>
  <c r="E480" i="1" s="1"/>
  <c r="K467" i="1" s="1"/>
  <c r="U476" i="1" s="1"/>
  <c r="D479" i="1"/>
  <c r="E479" i="1" s="1"/>
  <c r="K466" i="1" s="1"/>
  <c r="U475" i="1" s="1"/>
  <c r="D478" i="1"/>
  <c r="E478" i="1" s="1"/>
  <c r="K465" i="1" s="1"/>
  <c r="U474" i="1" s="1"/>
  <c r="D477" i="1"/>
  <c r="E477" i="1" s="1"/>
  <c r="K464" i="1" s="1"/>
  <c r="U473" i="1" s="1"/>
  <c r="D476" i="1"/>
  <c r="E476" i="1" s="1"/>
  <c r="K463" i="1" s="1"/>
  <c r="D472" i="1"/>
  <c r="E472" i="1" s="1"/>
  <c r="J472" i="1" s="1"/>
  <c r="U471" i="1" s="1"/>
  <c r="D471" i="1"/>
  <c r="E471" i="1" s="1"/>
  <c r="J471" i="1" s="1"/>
  <c r="U470" i="1" s="1"/>
  <c r="D470" i="1"/>
  <c r="E470" i="1" s="1"/>
  <c r="J470" i="1" s="1"/>
  <c r="U469" i="1" s="1"/>
  <c r="D469" i="1"/>
  <c r="E469" i="1" s="1"/>
  <c r="J469" i="1" s="1"/>
  <c r="U468" i="1" s="1"/>
  <c r="D468" i="1"/>
  <c r="E468" i="1" s="1"/>
  <c r="J468" i="1" s="1"/>
  <c r="U467" i="1" s="1"/>
  <c r="D467" i="1"/>
  <c r="E467" i="1" s="1"/>
  <c r="J467" i="1" s="1"/>
  <c r="U466" i="1" s="1"/>
  <c r="D466" i="1"/>
  <c r="E466" i="1" s="1"/>
  <c r="J466" i="1" s="1"/>
  <c r="U465" i="1" s="1"/>
  <c r="D465" i="1"/>
  <c r="E465" i="1" s="1"/>
  <c r="J465" i="1" s="1"/>
  <c r="U464" i="1" s="1"/>
  <c r="D464" i="1"/>
  <c r="E464" i="1" s="1"/>
  <c r="J464" i="1" s="1"/>
  <c r="U463" i="1" s="1"/>
  <c r="D463" i="1"/>
  <c r="E463" i="1" s="1"/>
  <c r="J463" i="1" s="1"/>
  <c r="D458" i="1"/>
  <c r="E458" i="1" s="1"/>
  <c r="K445" i="1" s="1"/>
  <c r="U454" i="1" s="1"/>
  <c r="D457" i="1"/>
  <c r="E457" i="1" s="1"/>
  <c r="K444" i="1" s="1"/>
  <c r="U453" i="1" s="1"/>
  <c r="D456" i="1"/>
  <c r="E456" i="1" s="1"/>
  <c r="K443" i="1" s="1"/>
  <c r="U452" i="1" s="1"/>
  <c r="D455" i="1"/>
  <c r="E455" i="1" s="1"/>
  <c r="K442" i="1" s="1"/>
  <c r="U451" i="1" s="1"/>
  <c r="D454" i="1"/>
  <c r="E454" i="1" s="1"/>
  <c r="K441" i="1" s="1"/>
  <c r="U450" i="1" s="1"/>
  <c r="D453" i="1"/>
  <c r="E453" i="1" s="1"/>
  <c r="K440" i="1" s="1"/>
  <c r="U449" i="1" s="1"/>
  <c r="D452" i="1"/>
  <c r="E452" i="1" s="1"/>
  <c r="K439" i="1" s="1"/>
  <c r="U448" i="1" s="1"/>
  <c r="D451" i="1"/>
  <c r="E451" i="1" s="1"/>
  <c r="K438" i="1" s="1"/>
  <c r="U447" i="1" s="1"/>
  <c r="D450" i="1"/>
  <c r="E450" i="1" s="1"/>
  <c r="K437" i="1" s="1"/>
  <c r="U446" i="1" s="1"/>
  <c r="D449" i="1"/>
  <c r="E449" i="1" s="1"/>
  <c r="K436" i="1" s="1"/>
  <c r="D445" i="1"/>
  <c r="E445" i="1" s="1"/>
  <c r="J445" i="1" s="1"/>
  <c r="U444" i="1" s="1"/>
  <c r="D444" i="1"/>
  <c r="E444" i="1" s="1"/>
  <c r="J444" i="1" s="1"/>
  <c r="U443" i="1" s="1"/>
  <c r="D443" i="1"/>
  <c r="E443" i="1" s="1"/>
  <c r="J443" i="1" s="1"/>
  <c r="U442" i="1" s="1"/>
  <c r="D442" i="1"/>
  <c r="E442" i="1" s="1"/>
  <c r="J442" i="1" s="1"/>
  <c r="U441" i="1" s="1"/>
  <c r="D441" i="1"/>
  <c r="E441" i="1" s="1"/>
  <c r="J441" i="1" s="1"/>
  <c r="U440" i="1" s="1"/>
  <c r="D440" i="1"/>
  <c r="E440" i="1" s="1"/>
  <c r="J440" i="1" s="1"/>
  <c r="U439" i="1" s="1"/>
  <c r="D439" i="1"/>
  <c r="E439" i="1" s="1"/>
  <c r="J439" i="1" s="1"/>
  <c r="U438" i="1" s="1"/>
  <c r="D438" i="1"/>
  <c r="E438" i="1" s="1"/>
  <c r="J438" i="1" s="1"/>
  <c r="U437" i="1" s="1"/>
  <c r="D437" i="1"/>
  <c r="E437" i="1" s="1"/>
  <c r="J437" i="1" s="1"/>
  <c r="U436" i="1" s="1"/>
  <c r="D436" i="1"/>
  <c r="E436" i="1" s="1"/>
  <c r="J436" i="1" s="1"/>
  <c r="D431" i="1"/>
  <c r="E431" i="1" s="1"/>
  <c r="K418" i="1" s="1"/>
  <c r="U427" i="1" s="1"/>
  <c r="D430" i="1"/>
  <c r="E430" i="1" s="1"/>
  <c r="K417" i="1" s="1"/>
  <c r="U426" i="1" s="1"/>
  <c r="D429" i="1"/>
  <c r="E429" i="1" s="1"/>
  <c r="K416" i="1" s="1"/>
  <c r="U425" i="1" s="1"/>
  <c r="D428" i="1"/>
  <c r="E428" i="1" s="1"/>
  <c r="K415" i="1" s="1"/>
  <c r="U424" i="1" s="1"/>
  <c r="D427" i="1"/>
  <c r="E427" i="1" s="1"/>
  <c r="K414" i="1" s="1"/>
  <c r="U423" i="1" s="1"/>
  <c r="D426" i="1"/>
  <c r="E426" i="1" s="1"/>
  <c r="K413" i="1" s="1"/>
  <c r="U422" i="1" s="1"/>
  <c r="D425" i="1"/>
  <c r="E425" i="1" s="1"/>
  <c r="K412" i="1" s="1"/>
  <c r="U421" i="1" s="1"/>
  <c r="D424" i="1"/>
  <c r="E424" i="1" s="1"/>
  <c r="K411" i="1" s="1"/>
  <c r="U420" i="1" s="1"/>
  <c r="D423" i="1"/>
  <c r="E423" i="1" s="1"/>
  <c r="K410" i="1" s="1"/>
  <c r="U419" i="1" s="1"/>
  <c r="D422" i="1"/>
  <c r="E422" i="1" s="1"/>
  <c r="K409" i="1" s="1"/>
  <c r="D418" i="1"/>
  <c r="E418" i="1" s="1"/>
  <c r="J418" i="1" s="1"/>
  <c r="U417" i="1" s="1"/>
  <c r="D417" i="1"/>
  <c r="E417" i="1" s="1"/>
  <c r="J417" i="1" s="1"/>
  <c r="U416" i="1" s="1"/>
  <c r="D416" i="1"/>
  <c r="E416" i="1" s="1"/>
  <c r="J416" i="1" s="1"/>
  <c r="U415" i="1" s="1"/>
  <c r="D415" i="1"/>
  <c r="E415" i="1" s="1"/>
  <c r="J415" i="1" s="1"/>
  <c r="U414" i="1" s="1"/>
  <c r="D414" i="1"/>
  <c r="E414" i="1" s="1"/>
  <c r="J414" i="1" s="1"/>
  <c r="U413" i="1" s="1"/>
  <c r="D413" i="1"/>
  <c r="E413" i="1" s="1"/>
  <c r="J413" i="1" s="1"/>
  <c r="U412" i="1" s="1"/>
  <c r="D412" i="1"/>
  <c r="E412" i="1" s="1"/>
  <c r="J412" i="1" s="1"/>
  <c r="U411" i="1" s="1"/>
  <c r="D411" i="1"/>
  <c r="E411" i="1" s="1"/>
  <c r="J411" i="1" s="1"/>
  <c r="U410" i="1" s="1"/>
  <c r="D410" i="1"/>
  <c r="E410" i="1" s="1"/>
  <c r="J410" i="1" s="1"/>
  <c r="U409" i="1" s="1"/>
  <c r="D409" i="1"/>
  <c r="E409" i="1" s="1"/>
  <c r="J409" i="1" s="1"/>
  <c r="D404" i="1"/>
  <c r="E404" i="1" s="1"/>
  <c r="K391" i="1" s="1"/>
  <c r="U400" i="1" s="1"/>
  <c r="D403" i="1"/>
  <c r="E403" i="1" s="1"/>
  <c r="K390" i="1" s="1"/>
  <c r="U399" i="1" s="1"/>
  <c r="D402" i="1"/>
  <c r="E402" i="1" s="1"/>
  <c r="K389" i="1" s="1"/>
  <c r="U398" i="1" s="1"/>
  <c r="D401" i="1"/>
  <c r="E401" i="1" s="1"/>
  <c r="K388" i="1" s="1"/>
  <c r="U397" i="1" s="1"/>
  <c r="D400" i="1"/>
  <c r="E400" i="1" s="1"/>
  <c r="K387" i="1" s="1"/>
  <c r="U396" i="1" s="1"/>
  <c r="D399" i="1"/>
  <c r="E399" i="1" s="1"/>
  <c r="K386" i="1" s="1"/>
  <c r="U395" i="1" s="1"/>
  <c r="D398" i="1"/>
  <c r="E398" i="1" s="1"/>
  <c r="K385" i="1" s="1"/>
  <c r="U394" i="1" s="1"/>
  <c r="D397" i="1"/>
  <c r="E397" i="1" s="1"/>
  <c r="K384" i="1" s="1"/>
  <c r="U393" i="1" s="1"/>
  <c r="D396" i="1"/>
  <c r="E396" i="1" s="1"/>
  <c r="K383" i="1" s="1"/>
  <c r="U392" i="1" s="1"/>
  <c r="D395" i="1"/>
  <c r="E395" i="1" s="1"/>
  <c r="K382" i="1" s="1"/>
  <c r="D391" i="1"/>
  <c r="E391" i="1" s="1"/>
  <c r="J391" i="1" s="1"/>
  <c r="U390" i="1" s="1"/>
  <c r="D390" i="1"/>
  <c r="E390" i="1" s="1"/>
  <c r="J390" i="1" s="1"/>
  <c r="U389" i="1" s="1"/>
  <c r="D389" i="1"/>
  <c r="E389" i="1" s="1"/>
  <c r="J389" i="1" s="1"/>
  <c r="U388" i="1" s="1"/>
  <c r="D388" i="1"/>
  <c r="E388" i="1" s="1"/>
  <c r="J388" i="1" s="1"/>
  <c r="U387" i="1" s="1"/>
  <c r="D387" i="1"/>
  <c r="E387" i="1" s="1"/>
  <c r="J387" i="1" s="1"/>
  <c r="U386" i="1" s="1"/>
  <c r="D386" i="1"/>
  <c r="E386" i="1" s="1"/>
  <c r="J386" i="1" s="1"/>
  <c r="U385" i="1" s="1"/>
  <c r="D385" i="1"/>
  <c r="E385" i="1" s="1"/>
  <c r="J385" i="1" s="1"/>
  <c r="U384" i="1" s="1"/>
  <c r="D384" i="1"/>
  <c r="E384" i="1" s="1"/>
  <c r="J384" i="1" s="1"/>
  <c r="U383" i="1" s="1"/>
  <c r="D383" i="1"/>
  <c r="E383" i="1" s="1"/>
  <c r="J383" i="1" s="1"/>
  <c r="U382" i="1" s="1"/>
  <c r="D382" i="1"/>
  <c r="E382" i="1" s="1"/>
  <c r="J382" i="1" s="1"/>
  <c r="D377" i="1"/>
  <c r="E377" i="1" s="1"/>
  <c r="K364" i="1" s="1"/>
  <c r="U373" i="1" s="1"/>
  <c r="D376" i="1"/>
  <c r="E376" i="1" s="1"/>
  <c r="K363" i="1" s="1"/>
  <c r="U372" i="1" s="1"/>
  <c r="D375" i="1"/>
  <c r="E375" i="1" s="1"/>
  <c r="K362" i="1" s="1"/>
  <c r="U371" i="1" s="1"/>
  <c r="D374" i="1"/>
  <c r="E374" i="1" s="1"/>
  <c r="K361" i="1" s="1"/>
  <c r="U370" i="1" s="1"/>
  <c r="D373" i="1"/>
  <c r="E373" i="1" s="1"/>
  <c r="K360" i="1" s="1"/>
  <c r="U369" i="1" s="1"/>
  <c r="D372" i="1"/>
  <c r="E372" i="1" s="1"/>
  <c r="K359" i="1" s="1"/>
  <c r="U368" i="1" s="1"/>
  <c r="D371" i="1"/>
  <c r="E371" i="1" s="1"/>
  <c r="K358" i="1" s="1"/>
  <c r="U367" i="1" s="1"/>
  <c r="D370" i="1"/>
  <c r="E370" i="1" s="1"/>
  <c r="K357" i="1" s="1"/>
  <c r="U366" i="1" s="1"/>
  <c r="D369" i="1"/>
  <c r="E369" i="1" s="1"/>
  <c r="K356" i="1" s="1"/>
  <c r="U365" i="1" s="1"/>
  <c r="D368" i="1"/>
  <c r="E368" i="1" s="1"/>
  <c r="K355" i="1" s="1"/>
  <c r="D364" i="1"/>
  <c r="E364" i="1" s="1"/>
  <c r="J364" i="1" s="1"/>
  <c r="U363" i="1" s="1"/>
  <c r="D363" i="1"/>
  <c r="E363" i="1" s="1"/>
  <c r="J363" i="1" s="1"/>
  <c r="U362" i="1" s="1"/>
  <c r="D362" i="1"/>
  <c r="E362" i="1" s="1"/>
  <c r="J362" i="1" s="1"/>
  <c r="U361" i="1" s="1"/>
  <c r="D361" i="1"/>
  <c r="E361" i="1" s="1"/>
  <c r="J361" i="1" s="1"/>
  <c r="U360" i="1" s="1"/>
  <c r="D360" i="1"/>
  <c r="E360" i="1" s="1"/>
  <c r="J360" i="1" s="1"/>
  <c r="U359" i="1" s="1"/>
  <c r="D359" i="1"/>
  <c r="E359" i="1" s="1"/>
  <c r="J359" i="1" s="1"/>
  <c r="U358" i="1" s="1"/>
  <c r="D358" i="1"/>
  <c r="E358" i="1" s="1"/>
  <c r="J358" i="1" s="1"/>
  <c r="U357" i="1" s="1"/>
  <c r="D357" i="1"/>
  <c r="E357" i="1" s="1"/>
  <c r="J357" i="1" s="1"/>
  <c r="U356" i="1" s="1"/>
  <c r="D356" i="1"/>
  <c r="E356" i="1" s="1"/>
  <c r="J356" i="1" s="1"/>
  <c r="U355" i="1" s="1"/>
  <c r="D355" i="1"/>
  <c r="E355" i="1" s="1"/>
  <c r="J355" i="1" s="1"/>
  <c r="D350" i="1"/>
  <c r="E350" i="1" s="1"/>
  <c r="K337" i="1" s="1"/>
  <c r="U346" i="1" s="1"/>
  <c r="D349" i="1"/>
  <c r="E349" i="1" s="1"/>
  <c r="K336" i="1" s="1"/>
  <c r="U345" i="1" s="1"/>
  <c r="D348" i="1"/>
  <c r="E348" i="1" s="1"/>
  <c r="K335" i="1" s="1"/>
  <c r="U344" i="1" s="1"/>
  <c r="D347" i="1"/>
  <c r="E347" i="1" s="1"/>
  <c r="K334" i="1" s="1"/>
  <c r="U343" i="1" s="1"/>
  <c r="D346" i="1"/>
  <c r="E346" i="1" s="1"/>
  <c r="K333" i="1" s="1"/>
  <c r="U342" i="1" s="1"/>
  <c r="D345" i="1"/>
  <c r="E345" i="1" s="1"/>
  <c r="K332" i="1" s="1"/>
  <c r="U341" i="1" s="1"/>
  <c r="D344" i="1"/>
  <c r="E344" i="1" s="1"/>
  <c r="K331" i="1" s="1"/>
  <c r="U340" i="1" s="1"/>
  <c r="D343" i="1"/>
  <c r="E343" i="1" s="1"/>
  <c r="K330" i="1" s="1"/>
  <c r="U339" i="1" s="1"/>
  <c r="D342" i="1"/>
  <c r="E342" i="1" s="1"/>
  <c r="K329" i="1" s="1"/>
  <c r="U338" i="1" s="1"/>
  <c r="D341" i="1"/>
  <c r="E341" i="1" s="1"/>
  <c r="K328" i="1" s="1"/>
  <c r="D337" i="1"/>
  <c r="E337" i="1" s="1"/>
  <c r="J337" i="1" s="1"/>
  <c r="U336" i="1" s="1"/>
  <c r="D336" i="1"/>
  <c r="E336" i="1" s="1"/>
  <c r="J336" i="1" s="1"/>
  <c r="U335" i="1" s="1"/>
  <c r="D335" i="1"/>
  <c r="E335" i="1" s="1"/>
  <c r="J335" i="1" s="1"/>
  <c r="U334" i="1" s="1"/>
  <c r="D334" i="1"/>
  <c r="E334" i="1" s="1"/>
  <c r="J334" i="1" s="1"/>
  <c r="U333" i="1" s="1"/>
  <c r="D333" i="1"/>
  <c r="E333" i="1" s="1"/>
  <c r="J333" i="1" s="1"/>
  <c r="U332" i="1" s="1"/>
  <c r="D332" i="1"/>
  <c r="E332" i="1" s="1"/>
  <c r="J332" i="1" s="1"/>
  <c r="U331" i="1" s="1"/>
  <c r="D331" i="1"/>
  <c r="E331" i="1" s="1"/>
  <c r="J331" i="1" s="1"/>
  <c r="U330" i="1" s="1"/>
  <c r="D330" i="1"/>
  <c r="E330" i="1" s="1"/>
  <c r="J330" i="1" s="1"/>
  <c r="U329" i="1" s="1"/>
  <c r="D329" i="1"/>
  <c r="E329" i="1" s="1"/>
  <c r="J329" i="1" s="1"/>
  <c r="U328" i="1" s="1"/>
  <c r="D328" i="1"/>
  <c r="E328" i="1" s="1"/>
  <c r="J328" i="1" s="1"/>
  <c r="D323" i="1"/>
  <c r="E323" i="1" s="1"/>
  <c r="K310" i="1" s="1"/>
  <c r="U319" i="1" s="1"/>
  <c r="D322" i="1"/>
  <c r="E322" i="1" s="1"/>
  <c r="K309" i="1" s="1"/>
  <c r="U318" i="1" s="1"/>
  <c r="D321" i="1"/>
  <c r="E321" i="1" s="1"/>
  <c r="K308" i="1" s="1"/>
  <c r="U317" i="1" s="1"/>
  <c r="D320" i="1"/>
  <c r="E320" i="1" s="1"/>
  <c r="K307" i="1" s="1"/>
  <c r="U316" i="1" s="1"/>
  <c r="D319" i="1"/>
  <c r="E319" i="1" s="1"/>
  <c r="K306" i="1" s="1"/>
  <c r="U315" i="1" s="1"/>
  <c r="D318" i="1"/>
  <c r="E318" i="1" s="1"/>
  <c r="K305" i="1" s="1"/>
  <c r="U314" i="1" s="1"/>
  <c r="D317" i="1"/>
  <c r="E317" i="1" s="1"/>
  <c r="K304" i="1" s="1"/>
  <c r="U313" i="1" s="1"/>
  <c r="D316" i="1"/>
  <c r="E316" i="1" s="1"/>
  <c r="K303" i="1" s="1"/>
  <c r="U312" i="1" s="1"/>
  <c r="D315" i="1"/>
  <c r="E315" i="1" s="1"/>
  <c r="K302" i="1" s="1"/>
  <c r="U311" i="1" s="1"/>
  <c r="D314" i="1"/>
  <c r="E314" i="1" s="1"/>
  <c r="K301" i="1" s="1"/>
  <c r="D310" i="1"/>
  <c r="E310" i="1" s="1"/>
  <c r="J310" i="1" s="1"/>
  <c r="U309" i="1" s="1"/>
  <c r="D309" i="1"/>
  <c r="E309" i="1" s="1"/>
  <c r="J309" i="1" s="1"/>
  <c r="U308" i="1" s="1"/>
  <c r="D308" i="1"/>
  <c r="E308" i="1" s="1"/>
  <c r="J308" i="1" s="1"/>
  <c r="U307" i="1" s="1"/>
  <c r="D307" i="1"/>
  <c r="E307" i="1" s="1"/>
  <c r="J307" i="1" s="1"/>
  <c r="U306" i="1" s="1"/>
  <c r="D306" i="1"/>
  <c r="E306" i="1" s="1"/>
  <c r="J306" i="1" s="1"/>
  <c r="U305" i="1" s="1"/>
  <c r="D305" i="1"/>
  <c r="E305" i="1" s="1"/>
  <c r="J305" i="1" s="1"/>
  <c r="U304" i="1" s="1"/>
  <c r="D304" i="1"/>
  <c r="E304" i="1" s="1"/>
  <c r="J304" i="1" s="1"/>
  <c r="U303" i="1" s="1"/>
  <c r="D303" i="1"/>
  <c r="E303" i="1" s="1"/>
  <c r="J303" i="1" s="1"/>
  <c r="U302" i="1" s="1"/>
  <c r="D302" i="1"/>
  <c r="E302" i="1" s="1"/>
  <c r="J302" i="1" s="1"/>
  <c r="U301" i="1" s="1"/>
  <c r="D301" i="1"/>
  <c r="E301" i="1" s="1"/>
  <c r="J301" i="1" s="1"/>
  <c r="D296" i="1"/>
  <c r="E296" i="1" s="1"/>
  <c r="K283" i="1" s="1"/>
  <c r="U292" i="1" s="1"/>
  <c r="D295" i="1"/>
  <c r="E295" i="1" s="1"/>
  <c r="K282" i="1" s="1"/>
  <c r="U291" i="1" s="1"/>
  <c r="D294" i="1"/>
  <c r="E294" i="1" s="1"/>
  <c r="K281" i="1" s="1"/>
  <c r="U290" i="1" s="1"/>
  <c r="D293" i="1"/>
  <c r="E293" i="1" s="1"/>
  <c r="K280" i="1" s="1"/>
  <c r="U289" i="1" s="1"/>
  <c r="D292" i="1"/>
  <c r="E292" i="1" s="1"/>
  <c r="K279" i="1" s="1"/>
  <c r="U288" i="1" s="1"/>
  <c r="D291" i="1"/>
  <c r="E291" i="1" s="1"/>
  <c r="K278" i="1" s="1"/>
  <c r="U287" i="1" s="1"/>
  <c r="D290" i="1"/>
  <c r="E290" i="1" s="1"/>
  <c r="K277" i="1" s="1"/>
  <c r="U286" i="1" s="1"/>
  <c r="D289" i="1"/>
  <c r="E289" i="1" s="1"/>
  <c r="K276" i="1" s="1"/>
  <c r="U285" i="1" s="1"/>
  <c r="D288" i="1"/>
  <c r="E288" i="1" s="1"/>
  <c r="K275" i="1" s="1"/>
  <c r="U284" i="1" s="1"/>
  <c r="D287" i="1"/>
  <c r="E287" i="1" s="1"/>
  <c r="K274" i="1" s="1"/>
  <c r="D283" i="1"/>
  <c r="E283" i="1" s="1"/>
  <c r="J283" i="1" s="1"/>
  <c r="U282" i="1" s="1"/>
  <c r="D282" i="1"/>
  <c r="E282" i="1" s="1"/>
  <c r="J282" i="1" s="1"/>
  <c r="U281" i="1" s="1"/>
  <c r="D281" i="1"/>
  <c r="E281" i="1" s="1"/>
  <c r="J281" i="1" s="1"/>
  <c r="U280" i="1" s="1"/>
  <c r="D280" i="1"/>
  <c r="E280" i="1" s="1"/>
  <c r="J280" i="1" s="1"/>
  <c r="U279" i="1" s="1"/>
  <c r="D279" i="1"/>
  <c r="E279" i="1" s="1"/>
  <c r="J279" i="1" s="1"/>
  <c r="U278" i="1" s="1"/>
  <c r="D278" i="1"/>
  <c r="E278" i="1" s="1"/>
  <c r="J278" i="1" s="1"/>
  <c r="U277" i="1" s="1"/>
  <c r="D277" i="1"/>
  <c r="E277" i="1" s="1"/>
  <c r="J277" i="1" s="1"/>
  <c r="U276" i="1" s="1"/>
  <c r="D276" i="1"/>
  <c r="E276" i="1" s="1"/>
  <c r="J276" i="1" s="1"/>
  <c r="U275" i="1" s="1"/>
  <c r="D275" i="1"/>
  <c r="E275" i="1" s="1"/>
  <c r="J275" i="1" s="1"/>
  <c r="U274" i="1" s="1"/>
  <c r="D274" i="1"/>
  <c r="E274" i="1" s="1"/>
  <c r="J274" i="1" s="1"/>
  <c r="D269" i="1"/>
  <c r="E269" i="1" s="1"/>
  <c r="K256" i="1" s="1"/>
  <c r="U265" i="1" s="1"/>
  <c r="D268" i="1"/>
  <c r="E268" i="1" s="1"/>
  <c r="K255" i="1" s="1"/>
  <c r="U264" i="1" s="1"/>
  <c r="D267" i="1"/>
  <c r="E267" i="1" s="1"/>
  <c r="K254" i="1" s="1"/>
  <c r="U263" i="1" s="1"/>
  <c r="D266" i="1"/>
  <c r="E266" i="1" s="1"/>
  <c r="K253" i="1" s="1"/>
  <c r="U262" i="1" s="1"/>
  <c r="D265" i="1"/>
  <c r="E265" i="1" s="1"/>
  <c r="K252" i="1" s="1"/>
  <c r="U261" i="1" s="1"/>
  <c r="D264" i="1"/>
  <c r="E264" i="1" s="1"/>
  <c r="K251" i="1" s="1"/>
  <c r="U260" i="1" s="1"/>
  <c r="D263" i="1"/>
  <c r="E263" i="1" s="1"/>
  <c r="K250" i="1" s="1"/>
  <c r="U259" i="1" s="1"/>
  <c r="D262" i="1"/>
  <c r="E262" i="1" s="1"/>
  <c r="K249" i="1" s="1"/>
  <c r="U258" i="1" s="1"/>
  <c r="D261" i="1"/>
  <c r="E261" i="1" s="1"/>
  <c r="K248" i="1" s="1"/>
  <c r="U257" i="1" s="1"/>
  <c r="D260" i="1"/>
  <c r="E260" i="1" s="1"/>
  <c r="K247" i="1" s="1"/>
  <c r="D256" i="1"/>
  <c r="E256" i="1" s="1"/>
  <c r="J256" i="1" s="1"/>
  <c r="U255" i="1" s="1"/>
  <c r="D255" i="1"/>
  <c r="E255" i="1" s="1"/>
  <c r="J255" i="1" s="1"/>
  <c r="U254" i="1" s="1"/>
  <c r="D254" i="1"/>
  <c r="E254" i="1" s="1"/>
  <c r="J254" i="1" s="1"/>
  <c r="U253" i="1" s="1"/>
  <c r="D253" i="1"/>
  <c r="E253" i="1" s="1"/>
  <c r="J253" i="1" s="1"/>
  <c r="U252" i="1" s="1"/>
  <c r="D252" i="1"/>
  <c r="E252" i="1" s="1"/>
  <c r="J252" i="1" s="1"/>
  <c r="U251" i="1" s="1"/>
  <c r="D251" i="1"/>
  <c r="E251" i="1" s="1"/>
  <c r="J251" i="1" s="1"/>
  <c r="U250" i="1" s="1"/>
  <c r="D250" i="1"/>
  <c r="E250" i="1" s="1"/>
  <c r="J250" i="1" s="1"/>
  <c r="U249" i="1" s="1"/>
  <c r="D249" i="1"/>
  <c r="E249" i="1" s="1"/>
  <c r="J249" i="1" s="1"/>
  <c r="U248" i="1" s="1"/>
  <c r="D248" i="1"/>
  <c r="E248" i="1" s="1"/>
  <c r="J248" i="1" s="1"/>
  <c r="U247" i="1" s="1"/>
  <c r="D247" i="1"/>
  <c r="E247" i="1" s="1"/>
  <c r="J247" i="1" s="1"/>
  <c r="D242" i="1"/>
  <c r="E242" i="1" s="1"/>
  <c r="K229" i="1" s="1"/>
  <c r="U238" i="1" s="1"/>
  <c r="D241" i="1"/>
  <c r="E241" i="1" s="1"/>
  <c r="K228" i="1" s="1"/>
  <c r="U237" i="1" s="1"/>
  <c r="D240" i="1"/>
  <c r="E240" i="1" s="1"/>
  <c r="K227" i="1" s="1"/>
  <c r="U236" i="1" s="1"/>
  <c r="D239" i="1"/>
  <c r="E239" i="1" s="1"/>
  <c r="K226" i="1" s="1"/>
  <c r="U235" i="1" s="1"/>
  <c r="D238" i="1"/>
  <c r="E238" i="1" s="1"/>
  <c r="K225" i="1" s="1"/>
  <c r="U234" i="1" s="1"/>
  <c r="D237" i="1"/>
  <c r="E237" i="1" s="1"/>
  <c r="K224" i="1" s="1"/>
  <c r="U233" i="1" s="1"/>
  <c r="D236" i="1"/>
  <c r="E236" i="1" s="1"/>
  <c r="K223" i="1" s="1"/>
  <c r="U232" i="1" s="1"/>
  <c r="D235" i="1"/>
  <c r="E235" i="1" s="1"/>
  <c r="K222" i="1" s="1"/>
  <c r="U231" i="1" s="1"/>
  <c r="D234" i="1"/>
  <c r="E234" i="1" s="1"/>
  <c r="K221" i="1" s="1"/>
  <c r="U230" i="1" s="1"/>
  <c r="D233" i="1"/>
  <c r="E233" i="1" s="1"/>
  <c r="K220" i="1" s="1"/>
  <c r="D229" i="1"/>
  <c r="E229" i="1" s="1"/>
  <c r="J229" i="1" s="1"/>
  <c r="U228" i="1" s="1"/>
  <c r="D228" i="1"/>
  <c r="E228" i="1" s="1"/>
  <c r="J228" i="1" s="1"/>
  <c r="U227" i="1" s="1"/>
  <c r="D227" i="1"/>
  <c r="E227" i="1" s="1"/>
  <c r="J227" i="1" s="1"/>
  <c r="U226" i="1" s="1"/>
  <c r="D226" i="1"/>
  <c r="E226" i="1" s="1"/>
  <c r="J226" i="1" s="1"/>
  <c r="U225" i="1" s="1"/>
  <c r="D225" i="1"/>
  <c r="E225" i="1" s="1"/>
  <c r="J225" i="1" s="1"/>
  <c r="U224" i="1" s="1"/>
  <c r="D224" i="1"/>
  <c r="E224" i="1" s="1"/>
  <c r="J224" i="1" s="1"/>
  <c r="U223" i="1" s="1"/>
  <c r="D223" i="1"/>
  <c r="E223" i="1" s="1"/>
  <c r="J223" i="1" s="1"/>
  <c r="U222" i="1" s="1"/>
  <c r="D222" i="1"/>
  <c r="E222" i="1" s="1"/>
  <c r="J222" i="1" s="1"/>
  <c r="U221" i="1" s="1"/>
  <c r="D221" i="1"/>
  <c r="E221" i="1" s="1"/>
  <c r="J221" i="1" s="1"/>
  <c r="U220" i="1" s="1"/>
  <c r="D220" i="1"/>
  <c r="E220" i="1" s="1"/>
  <c r="J220" i="1" s="1"/>
  <c r="D215" i="1"/>
  <c r="E215" i="1" s="1"/>
  <c r="K202" i="1" s="1"/>
  <c r="U211" i="1" s="1"/>
  <c r="D214" i="1"/>
  <c r="E214" i="1" s="1"/>
  <c r="K201" i="1" s="1"/>
  <c r="U210" i="1" s="1"/>
  <c r="D213" i="1"/>
  <c r="E213" i="1" s="1"/>
  <c r="K200" i="1" s="1"/>
  <c r="U209" i="1" s="1"/>
  <c r="D212" i="1"/>
  <c r="E212" i="1" s="1"/>
  <c r="K199" i="1" s="1"/>
  <c r="U208" i="1" s="1"/>
  <c r="D211" i="1"/>
  <c r="E211" i="1" s="1"/>
  <c r="K198" i="1" s="1"/>
  <c r="U207" i="1" s="1"/>
  <c r="D210" i="1"/>
  <c r="E210" i="1" s="1"/>
  <c r="K197" i="1" s="1"/>
  <c r="U206" i="1" s="1"/>
  <c r="D209" i="1"/>
  <c r="E209" i="1" s="1"/>
  <c r="K196" i="1" s="1"/>
  <c r="U205" i="1" s="1"/>
  <c r="D208" i="1"/>
  <c r="E208" i="1" s="1"/>
  <c r="K195" i="1" s="1"/>
  <c r="U204" i="1" s="1"/>
  <c r="D207" i="1"/>
  <c r="E207" i="1" s="1"/>
  <c r="K194" i="1" s="1"/>
  <c r="U203" i="1" s="1"/>
  <c r="D206" i="1"/>
  <c r="E206" i="1" s="1"/>
  <c r="K193" i="1" s="1"/>
  <c r="D202" i="1"/>
  <c r="E202" i="1" s="1"/>
  <c r="J202" i="1" s="1"/>
  <c r="U201" i="1" s="1"/>
  <c r="D201" i="1"/>
  <c r="E201" i="1" s="1"/>
  <c r="J201" i="1" s="1"/>
  <c r="U200" i="1" s="1"/>
  <c r="D200" i="1"/>
  <c r="E200" i="1" s="1"/>
  <c r="J200" i="1" s="1"/>
  <c r="U199" i="1" s="1"/>
  <c r="D199" i="1"/>
  <c r="E199" i="1" s="1"/>
  <c r="J199" i="1" s="1"/>
  <c r="U198" i="1" s="1"/>
  <c r="D198" i="1"/>
  <c r="E198" i="1" s="1"/>
  <c r="J198" i="1" s="1"/>
  <c r="U197" i="1" s="1"/>
  <c r="D197" i="1"/>
  <c r="E197" i="1" s="1"/>
  <c r="J197" i="1" s="1"/>
  <c r="U196" i="1" s="1"/>
  <c r="D196" i="1"/>
  <c r="E196" i="1" s="1"/>
  <c r="J196" i="1" s="1"/>
  <c r="U195" i="1" s="1"/>
  <c r="D195" i="1"/>
  <c r="E195" i="1" s="1"/>
  <c r="J195" i="1" s="1"/>
  <c r="U194" i="1" s="1"/>
  <c r="D194" i="1"/>
  <c r="E194" i="1" s="1"/>
  <c r="J194" i="1" s="1"/>
  <c r="U193" i="1" s="1"/>
  <c r="D193" i="1"/>
  <c r="E193" i="1" s="1"/>
  <c r="J193" i="1" s="1"/>
  <c r="D188" i="1"/>
  <c r="E188" i="1" s="1"/>
  <c r="K175" i="1" s="1"/>
  <c r="U184" i="1" s="1"/>
  <c r="D187" i="1"/>
  <c r="E187" i="1" s="1"/>
  <c r="K174" i="1" s="1"/>
  <c r="U183" i="1" s="1"/>
  <c r="D186" i="1"/>
  <c r="E186" i="1" s="1"/>
  <c r="K173" i="1" s="1"/>
  <c r="U182" i="1" s="1"/>
  <c r="D185" i="1"/>
  <c r="E185" i="1" s="1"/>
  <c r="K172" i="1" s="1"/>
  <c r="U181" i="1" s="1"/>
  <c r="D184" i="1"/>
  <c r="E184" i="1" s="1"/>
  <c r="K171" i="1" s="1"/>
  <c r="U180" i="1" s="1"/>
  <c r="D183" i="1"/>
  <c r="E183" i="1" s="1"/>
  <c r="K170" i="1" s="1"/>
  <c r="U179" i="1" s="1"/>
  <c r="D182" i="1"/>
  <c r="E182" i="1" s="1"/>
  <c r="K169" i="1" s="1"/>
  <c r="U178" i="1" s="1"/>
  <c r="D181" i="1"/>
  <c r="E181" i="1" s="1"/>
  <c r="K168" i="1" s="1"/>
  <c r="U177" i="1" s="1"/>
  <c r="D180" i="1"/>
  <c r="E180" i="1" s="1"/>
  <c r="K167" i="1" s="1"/>
  <c r="U176" i="1" s="1"/>
  <c r="D179" i="1"/>
  <c r="E179" i="1" s="1"/>
  <c r="K166" i="1" s="1"/>
  <c r="D175" i="1"/>
  <c r="E175" i="1" s="1"/>
  <c r="J175" i="1" s="1"/>
  <c r="U174" i="1" s="1"/>
  <c r="D174" i="1"/>
  <c r="E174" i="1" s="1"/>
  <c r="J174" i="1" s="1"/>
  <c r="U173" i="1" s="1"/>
  <c r="D173" i="1"/>
  <c r="E173" i="1" s="1"/>
  <c r="J173" i="1" s="1"/>
  <c r="U172" i="1" s="1"/>
  <c r="D172" i="1"/>
  <c r="E172" i="1" s="1"/>
  <c r="J172" i="1" s="1"/>
  <c r="U171" i="1" s="1"/>
  <c r="D171" i="1"/>
  <c r="E171" i="1" s="1"/>
  <c r="J171" i="1" s="1"/>
  <c r="U170" i="1" s="1"/>
  <c r="D170" i="1"/>
  <c r="E170" i="1" s="1"/>
  <c r="J170" i="1" s="1"/>
  <c r="U169" i="1" s="1"/>
  <c r="D169" i="1"/>
  <c r="E169" i="1" s="1"/>
  <c r="J169" i="1" s="1"/>
  <c r="U168" i="1" s="1"/>
  <c r="D168" i="1"/>
  <c r="E168" i="1" s="1"/>
  <c r="J168" i="1" s="1"/>
  <c r="U167" i="1" s="1"/>
  <c r="D167" i="1"/>
  <c r="E167" i="1" s="1"/>
  <c r="J167" i="1" s="1"/>
  <c r="U166" i="1" s="1"/>
  <c r="D166" i="1"/>
  <c r="E166" i="1" s="1"/>
  <c r="J166" i="1" s="1"/>
  <c r="D161" i="1"/>
  <c r="E161" i="1" s="1"/>
  <c r="K148" i="1" s="1"/>
  <c r="U157" i="1" s="1"/>
  <c r="D160" i="1"/>
  <c r="E160" i="1" s="1"/>
  <c r="K147" i="1" s="1"/>
  <c r="U156" i="1" s="1"/>
  <c r="D159" i="1"/>
  <c r="E159" i="1" s="1"/>
  <c r="K146" i="1" s="1"/>
  <c r="U155" i="1" s="1"/>
  <c r="D158" i="1"/>
  <c r="E158" i="1" s="1"/>
  <c r="K145" i="1" s="1"/>
  <c r="U154" i="1" s="1"/>
  <c r="D157" i="1"/>
  <c r="E157" i="1" s="1"/>
  <c r="K144" i="1" s="1"/>
  <c r="U153" i="1" s="1"/>
  <c r="D156" i="1"/>
  <c r="E156" i="1" s="1"/>
  <c r="K143" i="1" s="1"/>
  <c r="U152" i="1" s="1"/>
  <c r="D155" i="1"/>
  <c r="E155" i="1" s="1"/>
  <c r="K142" i="1" s="1"/>
  <c r="U151" i="1" s="1"/>
  <c r="D154" i="1"/>
  <c r="E154" i="1" s="1"/>
  <c r="K141" i="1" s="1"/>
  <c r="U150" i="1" s="1"/>
  <c r="D153" i="1"/>
  <c r="E153" i="1" s="1"/>
  <c r="K140" i="1" s="1"/>
  <c r="U149" i="1" s="1"/>
  <c r="D152" i="1"/>
  <c r="E152" i="1" s="1"/>
  <c r="K139" i="1" s="1"/>
  <c r="D148" i="1"/>
  <c r="E148" i="1" s="1"/>
  <c r="J148" i="1" s="1"/>
  <c r="U147" i="1" s="1"/>
  <c r="D147" i="1"/>
  <c r="E147" i="1" s="1"/>
  <c r="J147" i="1" s="1"/>
  <c r="U146" i="1" s="1"/>
  <c r="D146" i="1"/>
  <c r="E146" i="1" s="1"/>
  <c r="J146" i="1" s="1"/>
  <c r="U145" i="1" s="1"/>
  <c r="D145" i="1"/>
  <c r="E145" i="1" s="1"/>
  <c r="J145" i="1" s="1"/>
  <c r="U144" i="1" s="1"/>
  <c r="D144" i="1"/>
  <c r="E144" i="1" s="1"/>
  <c r="J144" i="1" s="1"/>
  <c r="U143" i="1" s="1"/>
  <c r="D143" i="1"/>
  <c r="E143" i="1" s="1"/>
  <c r="J143" i="1" s="1"/>
  <c r="U142" i="1" s="1"/>
  <c r="D142" i="1"/>
  <c r="E142" i="1" s="1"/>
  <c r="J142" i="1" s="1"/>
  <c r="U141" i="1" s="1"/>
  <c r="D141" i="1"/>
  <c r="E141" i="1" s="1"/>
  <c r="J141" i="1" s="1"/>
  <c r="U140" i="1" s="1"/>
  <c r="D140" i="1"/>
  <c r="E140" i="1" s="1"/>
  <c r="J140" i="1" s="1"/>
  <c r="U139" i="1" s="1"/>
  <c r="D139" i="1"/>
  <c r="E139" i="1" s="1"/>
  <c r="J139" i="1" s="1"/>
  <c r="D134" i="1"/>
  <c r="E134" i="1" s="1"/>
  <c r="K121" i="1" s="1"/>
  <c r="U130" i="1" s="1"/>
  <c r="D133" i="1"/>
  <c r="E133" i="1" s="1"/>
  <c r="K120" i="1" s="1"/>
  <c r="U129" i="1" s="1"/>
  <c r="D132" i="1"/>
  <c r="E132" i="1" s="1"/>
  <c r="K119" i="1" s="1"/>
  <c r="U128" i="1" s="1"/>
  <c r="D131" i="1"/>
  <c r="E131" i="1" s="1"/>
  <c r="K118" i="1" s="1"/>
  <c r="U127" i="1" s="1"/>
  <c r="D130" i="1"/>
  <c r="E130" i="1" s="1"/>
  <c r="K117" i="1" s="1"/>
  <c r="U126" i="1" s="1"/>
  <c r="D129" i="1"/>
  <c r="E129" i="1" s="1"/>
  <c r="K116" i="1" s="1"/>
  <c r="U125" i="1" s="1"/>
  <c r="D128" i="1"/>
  <c r="E128" i="1" s="1"/>
  <c r="K115" i="1" s="1"/>
  <c r="U124" i="1" s="1"/>
  <c r="D127" i="1"/>
  <c r="E127" i="1" s="1"/>
  <c r="K114" i="1" s="1"/>
  <c r="U123" i="1" s="1"/>
  <c r="D126" i="1"/>
  <c r="E126" i="1" s="1"/>
  <c r="K113" i="1" s="1"/>
  <c r="U122" i="1" s="1"/>
  <c r="D125" i="1"/>
  <c r="E125" i="1" s="1"/>
  <c r="K112" i="1" s="1"/>
  <c r="D121" i="1"/>
  <c r="E121" i="1" s="1"/>
  <c r="J121" i="1" s="1"/>
  <c r="U120" i="1" s="1"/>
  <c r="D120" i="1"/>
  <c r="E120" i="1" s="1"/>
  <c r="J120" i="1" s="1"/>
  <c r="U119" i="1" s="1"/>
  <c r="D119" i="1"/>
  <c r="E119" i="1" s="1"/>
  <c r="J119" i="1" s="1"/>
  <c r="U118" i="1" s="1"/>
  <c r="D118" i="1"/>
  <c r="E118" i="1" s="1"/>
  <c r="J118" i="1" s="1"/>
  <c r="U117" i="1" s="1"/>
  <c r="D117" i="1"/>
  <c r="E117" i="1" s="1"/>
  <c r="J117" i="1" s="1"/>
  <c r="U116" i="1" s="1"/>
  <c r="D116" i="1"/>
  <c r="E116" i="1" s="1"/>
  <c r="J116" i="1" s="1"/>
  <c r="U115" i="1" s="1"/>
  <c r="D115" i="1"/>
  <c r="E115" i="1" s="1"/>
  <c r="J115" i="1" s="1"/>
  <c r="U114" i="1" s="1"/>
  <c r="D114" i="1"/>
  <c r="E114" i="1" s="1"/>
  <c r="J114" i="1" s="1"/>
  <c r="U113" i="1" s="1"/>
  <c r="D113" i="1"/>
  <c r="E113" i="1" s="1"/>
  <c r="J113" i="1" s="1"/>
  <c r="U112" i="1" s="1"/>
  <c r="D112" i="1"/>
  <c r="E112" i="1" s="1"/>
  <c r="J112" i="1" s="1"/>
  <c r="D107" i="1"/>
  <c r="E107" i="1" s="1"/>
  <c r="K94" i="1" s="1"/>
  <c r="U103" i="1" s="1"/>
  <c r="D106" i="1"/>
  <c r="E106" i="1" s="1"/>
  <c r="K93" i="1" s="1"/>
  <c r="U102" i="1" s="1"/>
  <c r="D105" i="1"/>
  <c r="E105" i="1" s="1"/>
  <c r="K92" i="1" s="1"/>
  <c r="U101" i="1" s="1"/>
  <c r="D104" i="1"/>
  <c r="E104" i="1" s="1"/>
  <c r="K91" i="1" s="1"/>
  <c r="U100" i="1" s="1"/>
  <c r="D103" i="1"/>
  <c r="E103" i="1" s="1"/>
  <c r="K90" i="1" s="1"/>
  <c r="U99" i="1" s="1"/>
  <c r="D102" i="1"/>
  <c r="E102" i="1" s="1"/>
  <c r="K89" i="1" s="1"/>
  <c r="U98" i="1" s="1"/>
  <c r="D101" i="1"/>
  <c r="E101" i="1" s="1"/>
  <c r="K88" i="1" s="1"/>
  <c r="U97" i="1" s="1"/>
  <c r="D100" i="1"/>
  <c r="E100" i="1" s="1"/>
  <c r="K87" i="1" s="1"/>
  <c r="U96" i="1" s="1"/>
  <c r="D99" i="1"/>
  <c r="E99" i="1" s="1"/>
  <c r="K86" i="1" s="1"/>
  <c r="U95" i="1" s="1"/>
  <c r="D98" i="1"/>
  <c r="E98" i="1" s="1"/>
  <c r="K85" i="1" s="1"/>
  <c r="D94" i="1"/>
  <c r="E94" i="1" s="1"/>
  <c r="J94" i="1" s="1"/>
  <c r="U93" i="1" s="1"/>
  <c r="D93" i="1"/>
  <c r="E93" i="1" s="1"/>
  <c r="J93" i="1" s="1"/>
  <c r="U92" i="1" s="1"/>
  <c r="D92" i="1"/>
  <c r="E92" i="1" s="1"/>
  <c r="J92" i="1" s="1"/>
  <c r="U91" i="1" s="1"/>
  <c r="D91" i="1"/>
  <c r="E91" i="1" s="1"/>
  <c r="J91" i="1" s="1"/>
  <c r="U90" i="1" s="1"/>
  <c r="D90" i="1"/>
  <c r="E90" i="1" s="1"/>
  <c r="J90" i="1" s="1"/>
  <c r="U89" i="1" s="1"/>
  <c r="D89" i="1"/>
  <c r="E89" i="1" s="1"/>
  <c r="J89" i="1" s="1"/>
  <c r="U88" i="1" s="1"/>
  <c r="D88" i="1"/>
  <c r="E88" i="1" s="1"/>
  <c r="J88" i="1" s="1"/>
  <c r="U87" i="1" s="1"/>
  <c r="D87" i="1"/>
  <c r="E87" i="1" s="1"/>
  <c r="J87" i="1" s="1"/>
  <c r="U86" i="1" s="1"/>
  <c r="D86" i="1"/>
  <c r="E86" i="1" s="1"/>
  <c r="J86" i="1" s="1"/>
  <c r="U85" i="1" s="1"/>
  <c r="D85" i="1"/>
  <c r="E85" i="1" s="1"/>
  <c r="J85" i="1" s="1"/>
  <c r="D80" i="1"/>
  <c r="E80" i="1" s="1"/>
  <c r="K67" i="1" s="1"/>
  <c r="U76" i="1" s="1"/>
  <c r="D79" i="1"/>
  <c r="E79" i="1" s="1"/>
  <c r="K66" i="1" s="1"/>
  <c r="U75" i="1" s="1"/>
  <c r="D78" i="1"/>
  <c r="E78" i="1" s="1"/>
  <c r="K65" i="1" s="1"/>
  <c r="U74" i="1" s="1"/>
  <c r="D77" i="1"/>
  <c r="E77" i="1" s="1"/>
  <c r="K64" i="1" s="1"/>
  <c r="U73" i="1" s="1"/>
  <c r="D76" i="1"/>
  <c r="E76" i="1" s="1"/>
  <c r="K63" i="1" s="1"/>
  <c r="U72" i="1" s="1"/>
  <c r="D75" i="1"/>
  <c r="E75" i="1" s="1"/>
  <c r="K62" i="1" s="1"/>
  <c r="U71" i="1" s="1"/>
  <c r="D74" i="1"/>
  <c r="E74" i="1" s="1"/>
  <c r="K61" i="1" s="1"/>
  <c r="U70" i="1" s="1"/>
  <c r="D73" i="1"/>
  <c r="E73" i="1" s="1"/>
  <c r="K60" i="1" s="1"/>
  <c r="U69" i="1" s="1"/>
  <c r="D72" i="1"/>
  <c r="E72" i="1" s="1"/>
  <c r="K59" i="1" s="1"/>
  <c r="U68" i="1" s="1"/>
  <c r="D71" i="1"/>
  <c r="E71" i="1" s="1"/>
  <c r="K58" i="1" s="1"/>
  <c r="D67" i="1"/>
  <c r="E67" i="1" s="1"/>
  <c r="J67" i="1" s="1"/>
  <c r="U66" i="1" s="1"/>
  <c r="D66" i="1"/>
  <c r="E66" i="1" s="1"/>
  <c r="J66" i="1" s="1"/>
  <c r="U65" i="1" s="1"/>
  <c r="D65" i="1"/>
  <c r="E65" i="1" s="1"/>
  <c r="J65" i="1" s="1"/>
  <c r="U64" i="1" s="1"/>
  <c r="D64" i="1"/>
  <c r="E64" i="1" s="1"/>
  <c r="J64" i="1" s="1"/>
  <c r="U63" i="1" s="1"/>
  <c r="D63" i="1"/>
  <c r="E63" i="1" s="1"/>
  <c r="J63" i="1" s="1"/>
  <c r="U62" i="1" s="1"/>
  <c r="D62" i="1"/>
  <c r="E62" i="1" s="1"/>
  <c r="J62" i="1" s="1"/>
  <c r="U61" i="1" s="1"/>
  <c r="D61" i="1"/>
  <c r="E61" i="1" s="1"/>
  <c r="J61" i="1" s="1"/>
  <c r="U60" i="1" s="1"/>
  <c r="D60" i="1"/>
  <c r="E60" i="1" s="1"/>
  <c r="J60" i="1" s="1"/>
  <c r="U59" i="1" s="1"/>
  <c r="D59" i="1"/>
  <c r="E59" i="1" s="1"/>
  <c r="J59" i="1" s="1"/>
  <c r="U58" i="1" s="1"/>
  <c r="D58" i="1"/>
  <c r="E58" i="1" s="1"/>
  <c r="J58" i="1" s="1"/>
  <c r="D53" i="1"/>
  <c r="E53" i="1" s="1"/>
  <c r="K40" i="1" s="1"/>
  <c r="U49" i="1" s="1"/>
  <c r="D52" i="1"/>
  <c r="E52" i="1" s="1"/>
  <c r="K39" i="1" s="1"/>
  <c r="U48" i="1" s="1"/>
  <c r="D51" i="1"/>
  <c r="E51" i="1" s="1"/>
  <c r="K38" i="1" s="1"/>
  <c r="U47" i="1" s="1"/>
  <c r="D50" i="1"/>
  <c r="E50" i="1" s="1"/>
  <c r="K37" i="1" s="1"/>
  <c r="U46" i="1" s="1"/>
  <c r="D49" i="1"/>
  <c r="E49" i="1" s="1"/>
  <c r="K36" i="1" s="1"/>
  <c r="U45" i="1" s="1"/>
  <c r="D48" i="1"/>
  <c r="E48" i="1" s="1"/>
  <c r="K35" i="1" s="1"/>
  <c r="U44" i="1" s="1"/>
  <c r="D47" i="1"/>
  <c r="E47" i="1" s="1"/>
  <c r="K34" i="1" s="1"/>
  <c r="U43" i="1" s="1"/>
  <c r="D46" i="1"/>
  <c r="E46" i="1" s="1"/>
  <c r="K33" i="1" s="1"/>
  <c r="U42" i="1" s="1"/>
  <c r="D45" i="1"/>
  <c r="E45" i="1" s="1"/>
  <c r="K32" i="1" s="1"/>
  <c r="U41" i="1" s="1"/>
  <c r="D44" i="1"/>
  <c r="E44" i="1" s="1"/>
  <c r="K31" i="1" s="1"/>
  <c r="D40" i="1"/>
  <c r="E40" i="1" s="1"/>
  <c r="J40" i="1" s="1"/>
  <c r="U39" i="1" s="1"/>
  <c r="D39" i="1"/>
  <c r="E39" i="1" s="1"/>
  <c r="J39" i="1" s="1"/>
  <c r="U38" i="1" s="1"/>
  <c r="D38" i="1"/>
  <c r="E38" i="1" s="1"/>
  <c r="J38" i="1" s="1"/>
  <c r="U37" i="1" s="1"/>
  <c r="D37" i="1"/>
  <c r="E37" i="1" s="1"/>
  <c r="J37" i="1" s="1"/>
  <c r="U36" i="1" s="1"/>
  <c r="D36" i="1"/>
  <c r="E36" i="1" s="1"/>
  <c r="J36" i="1" s="1"/>
  <c r="U35" i="1" s="1"/>
  <c r="D35" i="1"/>
  <c r="E35" i="1" s="1"/>
  <c r="J35" i="1" s="1"/>
  <c r="U34" i="1" s="1"/>
  <c r="D34" i="1"/>
  <c r="E34" i="1" s="1"/>
  <c r="J34" i="1" s="1"/>
  <c r="U33" i="1" s="1"/>
  <c r="D33" i="1"/>
  <c r="E33" i="1" s="1"/>
  <c r="J33" i="1" s="1"/>
  <c r="U32" i="1" s="1"/>
  <c r="D32" i="1"/>
  <c r="E32" i="1" s="1"/>
  <c r="J32" i="1" s="1"/>
  <c r="U31" i="1" s="1"/>
  <c r="D31" i="1"/>
  <c r="E31" i="1" s="1"/>
  <c r="J31" i="1" s="1"/>
  <c r="D26" i="1"/>
  <c r="E26" i="1" s="1"/>
  <c r="K13" i="1" s="1"/>
  <c r="U22" i="1" s="1"/>
  <c r="D25" i="1"/>
  <c r="E25" i="1" s="1"/>
  <c r="K12" i="1" s="1"/>
  <c r="U21" i="1" s="1"/>
  <c r="D24" i="1"/>
  <c r="E24" i="1" s="1"/>
  <c r="K11" i="1" s="1"/>
  <c r="U20" i="1" s="1"/>
  <c r="D23" i="1"/>
  <c r="E23" i="1" s="1"/>
  <c r="K10" i="1" s="1"/>
  <c r="U19" i="1" s="1"/>
  <c r="D22" i="1"/>
  <c r="E22" i="1" s="1"/>
  <c r="K9" i="1" s="1"/>
  <c r="U18" i="1" s="1"/>
  <c r="D21" i="1"/>
  <c r="E21" i="1" s="1"/>
  <c r="K8" i="1" s="1"/>
  <c r="U17" i="1" s="1"/>
  <c r="D20" i="1"/>
  <c r="E20" i="1" s="1"/>
  <c r="K7" i="1" s="1"/>
  <c r="U16" i="1" s="1"/>
  <c r="D19" i="1"/>
  <c r="E19" i="1" s="1"/>
  <c r="K6" i="1" s="1"/>
  <c r="U15" i="1" s="1"/>
  <c r="D18" i="1"/>
  <c r="E18" i="1" s="1"/>
  <c r="K5" i="1" s="1"/>
  <c r="U14" i="1" s="1"/>
  <c r="D17" i="1"/>
  <c r="E17" i="1" s="1"/>
  <c r="K4" i="1" s="1"/>
  <c r="D13" i="1"/>
  <c r="E13" i="1" s="1"/>
  <c r="J13" i="1" s="1"/>
  <c r="U12" i="1" s="1"/>
  <c r="D12" i="1"/>
  <c r="E12" i="1" s="1"/>
  <c r="J12" i="1" s="1"/>
  <c r="U11" i="1" s="1"/>
  <c r="D11" i="1"/>
  <c r="E11" i="1" s="1"/>
  <c r="J11" i="1" s="1"/>
  <c r="U10" i="1" s="1"/>
  <c r="D10" i="1"/>
  <c r="E10" i="1" s="1"/>
  <c r="J10" i="1" s="1"/>
  <c r="U9" i="1" s="1"/>
  <c r="D9" i="1"/>
  <c r="E9" i="1" s="1"/>
  <c r="J9" i="1" s="1"/>
  <c r="U8" i="1" s="1"/>
  <c r="D8" i="1"/>
  <c r="E8" i="1" s="1"/>
  <c r="J8" i="1" s="1"/>
  <c r="U7" i="1" s="1"/>
  <c r="D7" i="1"/>
  <c r="E7" i="1" s="1"/>
  <c r="J7" i="1" s="1"/>
  <c r="U6" i="1" s="1"/>
  <c r="D6" i="1"/>
  <c r="E6" i="1" s="1"/>
  <c r="J6" i="1" s="1"/>
  <c r="U5" i="1" s="1"/>
  <c r="D5" i="1"/>
  <c r="E5" i="1" s="1"/>
  <c r="J5" i="1" s="1"/>
  <c r="U4" i="1" s="1"/>
  <c r="D4" i="1"/>
  <c r="E4" i="1" s="1"/>
  <c r="J4" i="1" s="1"/>
  <c r="J938" i="3" l="1"/>
  <c r="J668" i="3"/>
  <c r="K313" i="3"/>
  <c r="U84" i="3"/>
  <c r="J97" i="3"/>
  <c r="K97" i="3"/>
  <c r="U94" i="3"/>
  <c r="U138" i="3"/>
  <c r="J151" i="3"/>
  <c r="K259" i="3"/>
  <c r="U256" i="3"/>
  <c r="K205" i="3"/>
  <c r="U202" i="3"/>
  <c r="J70" i="3"/>
  <c r="U57" i="3"/>
  <c r="J205" i="3"/>
  <c r="U192" i="3"/>
  <c r="U354" i="3"/>
  <c r="J367" i="3"/>
  <c r="K529" i="3"/>
  <c r="U526" i="3"/>
  <c r="O531" i="3" s="1"/>
  <c r="X516" i="3" s="1"/>
  <c r="U300" i="3"/>
  <c r="J313" i="3"/>
  <c r="U872" i="3"/>
  <c r="J884" i="3"/>
  <c r="K367" i="3"/>
  <c r="U365" i="3"/>
  <c r="U435" i="3"/>
  <c r="J448" i="3"/>
  <c r="U463" i="3"/>
  <c r="J475" i="3"/>
  <c r="K1073" i="3"/>
  <c r="U1070" i="3"/>
  <c r="K124" i="3"/>
  <c r="U121" i="3"/>
  <c r="U246" i="3"/>
  <c r="J259" i="3"/>
  <c r="U30" i="3"/>
  <c r="J43" i="3"/>
  <c r="K43" i="3"/>
  <c r="K70" i="3"/>
  <c r="U67" i="3"/>
  <c r="K340" i="3"/>
  <c r="U337" i="3"/>
  <c r="K178" i="3"/>
  <c r="U175" i="3"/>
  <c r="U283" i="3"/>
  <c r="K286" i="3"/>
  <c r="J614" i="3"/>
  <c r="U499" i="3"/>
  <c r="K502" i="3"/>
  <c r="K394" i="3"/>
  <c r="U391" i="3"/>
  <c r="J830" i="3"/>
  <c r="U817" i="3"/>
  <c r="O1075" i="3"/>
  <c r="X1060" i="3" s="1"/>
  <c r="O1074" i="3"/>
  <c r="W1060" i="3" s="1"/>
  <c r="O1076" i="3"/>
  <c r="Y1060" i="3" s="1"/>
  <c r="U165" i="3"/>
  <c r="J178" i="3"/>
  <c r="U219" i="3"/>
  <c r="J232" i="3"/>
  <c r="K232" i="3"/>
  <c r="U229" i="3"/>
  <c r="J340" i="3"/>
  <c r="U327" i="3"/>
  <c r="U13" i="3"/>
  <c r="K16" i="3"/>
  <c r="U111" i="3"/>
  <c r="J124" i="3"/>
  <c r="U273" i="3"/>
  <c r="J286" i="3"/>
  <c r="K803" i="3"/>
  <c r="U800" i="3"/>
  <c r="O806" i="3" s="1"/>
  <c r="Y790" i="3" s="1"/>
  <c r="U547" i="3"/>
  <c r="J560" i="3"/>
  <c r="U859" i="3"/>
  <c r="K857" i="3"/>
  <c r="J394" i="3"/>
  <c r="U381" i="3"/>
  <c r="U3" i="3"/>
  <c r="J16" i="3"/>
  <c r="U148" i="3"/>
  <c r="K151" i="3"/>
  <c r="J529" i="3"/>
  <c r="U574" i="3"/>
  <c r="J587" i="3"/>
  <c r="K668" i="3"/>
  <c r="K695" i="3"/>
  <c r="U692" i="3"/>
  <c r="O885" i="3"/>
  <c r="W871" i="3" s="1"/>
  <c r="O886" i="3"/>
  <c r="X871" i="3" s="1"/>
  <c r="U925" i="3"/>
  <c r="K560" i="3"/>
  <c r="U557" i="3"/>
  <c r="U844" i="3"/>
  <c r="J857" i="3"/>
  <c r="U898" i="3"/>
  <c r="J911" i="3"/>
  <c r="K938" i="3"/>
  <c r="U935" i="3"/>
  <c r="K884" i="3"/>
  <c r="U881" i="3"/>
  <c r="U908" i="3"/>
  <c r="K911" i="3"/>
  <c r="K722" i="3"/>
  <c r="K830" i="3"/>
  <c r="U827" i="3"/>
  <c r="K448" i="3"/>
  <c r="U40" i="3"/>
  <c r="U310" i="3"/>
  <c r="U601" i="3"/>
  <c r="O887" i="3"/>
  <c r="Y871" i="3" s="1"/>
  <c r="O424" i="3"/>
  <c r="Y408" i="3" s="1"/>
  <c r="O422" i="3"/>
  <c r="W408" i="3" s="1"/>
  <c r="J749" i="3"/>
  <c r="K587" i="3"/>
  <c r="K749" i="3"/>
  <c r="U746" i="3"/>
  <c r="O750" i="3" s="1"/>
  <c r="W736" i="3" s="1"/>
  <c r="U763" i="3"/>
  <c r="J776" i="3"/>
  <c r="J1073" i="3"/>
  <c r="U979" i="3"/>
  <c r="J992" i="3"/>
  <c r="U1033" i="3"/>
  <c r="J1046" i="3"/>
  <c r="J965" i="3"/>
  <c r="U952" i="3"/>
  <c r="U1043" i="3"/>
  <c r="K1046" i="3"/>
  <c r="J421" i="3"/>
  <c r="K614" i="3"/>
  <c r="U611" i="3"/>
  <c r="U628" i="3"/>
  <c r="J641" i="3"/>
  <c r="K965" i="3"/>
  <c r="U962" i="3"/>
  <c r="K992" i="3"/>
  <c r="U989" i="3"/>
  <c r="J1019" i="3"/>
  <c r="K421" i="3"/>
  <c r="K475" i="3"/>
  <c r="U472" i="3"/>
  <c r="U489" i="3"/>
  <c r="J502" i="3"/>
  <c r="J695" i="3"/>
  <c r="U682" i="3"/>
  <c r="K1019" i="3"/>
  <c r="U1016" i="3"/>
  <c r="O1020" i="3" s="1"/>
  <c r="W1006" i="3" s="1"/>
  <c r="U665" i="3"/>
  <c r="J803" i="3"/>
  <c r="O423" i="3"/>
  <c r="X408" i="3" s="1"/>
  <c r="U655" i="3"/>
  <c r="U709" i="3"/>
  <c r="J722" i="3"/>
  <c r="U773" i="3"/>
  <c r="K776" i="3"/>
  <c r="K641" i="3"/>
  <c r="U1070" i="1"/>
  <c r="K1073" i="1"/>
  <c r="U1060" i="1"/>
  <c r="J1073" i="1"/>
  <c r="U1043" i="1"/>
  <c r="K1046" i="1"/>
  <c r="U1033" i="1"/>
  <c r="J1046" i="1"/>
  <c r="K1019" i="1"/>
  <c r="U1017" i="1"/>
  <c r="U1006" i="1"/>
  <c r="J1019" i="1"/>
  <c r="U979" i="1"/>
  <c r="J992" i="1"/>
  <c r="K992" i="1"/>
  <c r="U989" i="1"/>
  <c r="U962" i="1"/>
  <c r="K965" i="1"/>
  <c r="J965" i="1"/>
  <c r="U952" i="1"/>
  <c r="K938" i="1"/>
  <c r="U935" i="1"/>
  <c r="U925" i="1"/>
  <c r="J938" i="1"/>
  <c r="K911" i="1"/>
  <c r="U908" i="1"/>
  <c r="U898" i="1"/>
  <c r="J911" i="1"/>
  <c r="K884" i="1"/>
  <c r="U881" i="1"/>
  <c r="U871" i="1"/>
  <c r="J884" i="1"/>
  <c r="K857" i="1"/>
  <c r="U854" i="1"/>
  <c r="U844" i="1"/>
  <c r="J857" i="1"/>
  <c r="K830" i="1"/>
  <c r="U827" i="1"/>
  <c r="J830" i="1"/>
  <c r="U817" i="1"/>
  <c r="U800" i="1"/>
  <c r="K803" i="1"/>
  <c r="U790" i="1"/>
  <c r="J803" i="1"/>
  <c r="J776" i="1"/>
  <c r="U763" i="1"/>
  <c r="U774" i="1"/>
  <c r="K776" i="1"/>
  <c r="U746" i="1"/>
  <c r="K749" i="1"/>
  <c r="U736" i="1"/>
  <c r="J749" i="1"/>
  <c r="U719" i="1"/>
  <c r="K722" i="1"/>
  <c r="U709" i="1"/>
  <c r="J722" i="1"/>
  <c r="K695" i="1"/>
  <c r="U692" i="1"/>
  <c r="U682" i="1"/>
  <c r="J695" i="1"/>
  <c r="U655" i="1"/>
  <c r="J668" i="1"/>
  <c r="K668" i="1"/>
  <c r="U665" i="1"/>
  <c r="U638" i="1"/>
  <c r="K641" i="1"/>
  <c r="U628" i="1"/>
  <c r="J641" i="1"/>
  <c r="U601" i="1"/>
  <c r="J614" i="1"/>
  <c r="U611" i="1"/>
  <c r="K614" i="1"/>
  <c r="K587" i="1"/>
  <c r="U584" i="1"/>
  <c r="J587" i="1"/>
  <c r="U574" i="1"/>
  <c r="U557" i="1"/>
  <c r="K560" i="1"/>
  <c r="U547" i="1"/>
  <c r="J560" i="1"/>
  <c r="U516" i="1"/>
  <c r="J529" i="1"/>
  <c r="K529" i="1"/>
  <c r="U526" i="1"/>
  <c r="K502" i="1"/>
  <c r="U499" i="1"/>
  <c r="U489" i="1"/>
  <c r="J502" i="1"/>
  <c r="U472" i="1"/>
  <c r="K475" i="1"/>
  <c r="U462" i="1"/>
  <c r="J475" i="1"/>
  <c r="U445" i="1"/>
  <c r="K448" i="1"/>
  <c r="U435" i="1"/>
  <c r="J448" i="1"/>
  <c r="K421" i="1"/>
  <c r="U418" i="1"/>
  <c r="U408" i="1"/>
  <c r="J421" i="1"/>
  <c r="U381" i="1"/>
  <c r="J394" i="1"/>
  <c r="K394" i="1"/>
  <c r="U391" i="1"/>
  <c r="U354" i="1"/>
  <c r="J367" i="1"/>
  <c r="U364" i="1"/>
  <c r="K367" i="1"/>
  <c r="U327" i="1"/>
  <c r="J340" i="1"/>
  <c r="K340" i="1"/>
  <c r="U337" i="1"/>
  <c r="K313" i="1"/>
  <c r="U310" i="1"/>
  <c r="J313" i="1"/>
  <c r="U300" i="1"/>
  <c r="K286" i="1"/>
  <c r="U283" i="1"/>
  <c r="U273" i="1"/>
  <c r="J286" i="1"/>
  <c r="U246" i="1"/>
  <c r="J259" i="1"/>
  <c r="U256" i="1"/>
  <c r="K259" i="1"/>
  <c r="J232" i="1"/>
  <c r="U219" i="1"/>
  <c r="K232" i="1"/>
  <c r="U229" i="1"/>
  <c r="U202" i="1"/>
  <c r="K205" i="1"/>
  <c r="U192" i="1"/>
  <c r="J205" i="1"/>
  <c r="U175" i="1"/>
  <c r="K178" i="1"/>
  <c r="U165" i="1"/>
  <c r="J178" i="1"/>
  <c r="U148" i="1"/>
  <c r="K151" i="1"/>
  <c r="U138" i="1"/>
  <c r="J151" i="1"/>
  <c r="U13" i="1"/>
  <c r="K16" i="1"/>
  <c r="U3" i="1"/>
  <c r="O18" i="1" s="1"/>
  <c r="X3" i="1" s="1"/>
  <c r="J16" i="1"/>
  <c r="K124" i="1"/>
  <c r="U121" i="1"/>
  <c r="U111" i="1"/>
  <c r="J124" i="1"/>
  <c r="U94" i="1"/>
  <c r="K97" i="1"/>
  <c r="U84" i="1"/>
  <c r="J97" i="1"/>
  <c r="K70" i="1"/>
  <c r="U67" i="1"/>
  <c r="U57" i="1"/>
  <c r="J70" i="1"/>
  <c r="U30" i="1"/>
  <c r="J43" i="1"/>
  <c r="K43" i="1"/>
  <c r="U40" i="1"/>
  <c r="O804" i="3" l="1"/>
  <c r="W790" i="3" s="1"/>
  <c r="O805" i="3"/>
  <c r="X790" i="3" s="1"/>
  <c r="O752" i="3"/>
  <c r="Y736" i="3" s="1"/>
  <c r="O476" i="3"/>
  <c r="W462" i="3" s="1"/>
  <c r="O315" i="3"/>
  <c r="X300" i="3" s="1"/>
  <c r="O314" i="3"/>
  <c r="W300" i="3" s="1"/>
  <c r="O316" i="3"/>
  <c r="Y300" i="3" s="1"/>
  <c r="O19" i="3"/>
  <c r="Y3" i="3" s="1"/>
  <c r="O18" i="3"/>
  <c r="X3" i="3" s="1"/>
  <c r="O17" i="3"/>
  <c r="W3" i="3" s="1"/>
  <c r="O235" i="3"/>
  <c r="Y219" i="3" s="1"/>
  <c r="O234" i="3"/>
  <c r="X219" i="3" s="1"/>
  <c r="O233" i="3"/>
  <c r="W219" i="3" s="1"/>
  <c r="O397" i="3"/>
  <c r="Y381" i="3" s="1"/>
  <c r="O396" i="3"/>
  <c r="X381" i="3" s="1"/>
  <c r="O395" i="3"/>
  <c r="W381" i="3" s="1"/>
  <c r="O968" i="3"/>
  <c r="Y952" i="3" s="1"/>
  <c r="O967" i="3"/>
  <c r="X952" i="3" s="1"/>
  <c r="O966" i="3"/>
  <c r="W952" i="3" s="1"/>
  <c r="O615" i="3"/>
  <c r="W601" i="3" s="1"/>
  <c r="O616" i="3"/>
  <c r="X601" i="3" s="1"/>
  <c r="O617" i="3"/>
  <c r="Y601" i="3" s="1"/>
  <c r="O860" i="3"/>
  <c r="Y844" i="3" s="1"/>
  <c r="O859" i="3"/>
  <c r="X844" i="3" s="1"/>
  <c r="O858" i="3"/>
  <c r="W844" i="3" s="1"/>
  <c r="O180" i="3"/>
  <c r="X165" i="3" s="1"/>
  <c r="O179" i="3"/>
  <c r="W165" i="3" s="1"/>
  <c r="O181" i="3"/>
  <c r="Y165" i="3" s="1"/>
  <c r="O45" i="3"/>
  <c r="X30" i="3" s="1"/>
  <c r="O44" i="3"/>
  <c r="W30" i="3" s="1"/>
  <c r="O46" i="3"/>
  <c r="Y30" i="3" s="1"/>
  <c r="O370" i="3"/>
  <c r="Y354" i="3" s="1"/>
  <c r="O369" i="3"/>
  <c r="X354" i="3" s="1"/>
  <c r="O368" i="3"/>
  <c r="W354" i="3" s="1"/>
  <c r="O208" i="3"/>
  <c r="Y192" i="3" s="1"/>
  <c r="O207" i="3"/>
  <c r="X192" i="3" s="1"/>
  <c r="O206" i="3"/>
  <c r="W192" i="3" s="1"/>
  <c r="O1049" i="3"/>
  <c r="Y1033" i="3" s="1"/>
  <c r="O1048" i="3"/>
  <c r="X1033" i="3" s="1"/>
  <c r="O1047" i="3"/>
  <c r="W1033" i="3" s="1"/>
  <c r="O940" i="3"/>
  <c r="X925" i="3" s="1"/>
  <c r="O939" i="3"/>
  <c r="W925" i="3" s="1"/>
  <c r="O941" i="3"/>
  <c r="Y925" i="3" s="1"/>
  <c r="O260" i="3"/>
  <c r="W246" i="3" s="1"/>
  <c r="O262" i="3"/>
  <c r="Y246" i="3" s="1"/>
  <c r="O261" i="3"/>
  <c r="X246" i="3" s="1"/>
  <c r="O505" i="3"/>
  <c r="Y489" i="3" s="1"/>
  <c r="O504" i="3"/>
  <c r="X489" i="3" s="1"/>
  <c r="O503" i="3"/>
  <c r="W489" i="3" s="1"/>
  <c r="O1021" i="3"/>
  <c r="X1006" i="3" s="1"/>
  <c r="O563" i="3"/>
  <c r="Y547" i="3" s="1"/>
  <c r="O561" i="3"/>
  <c r="W547" i="3" s="1"/>
  <c r="O562" i="3"/>
  <c r="X547" i="3" s="1"/>
  <c r="O833" i="3"/>
  <c r="Y817" i="3" s="1"/>
  <c r="O831" i="3"/>
  <c r="W817" i="3" s="1"/>
  <c r="O832" i="3"/>
  <c r="X817" i="3" s="1"/>
  <c r="O73" i="3"/>
  <c r="Y57" i="3" s="1"/>
  <c r="O72" i="3"/>
  <c r="X57" i="3" s="1"/>
  <c r="O71" i="3"/>
  <c r="W57" i="3" s="1"/>
  <c r="O1022" i="3"/>
  <c r="Y1006" i="3" s="1"/>
  <c r="O914" i="3"/>
  <c r="Y898" i="3" s="1"/>
  <c r="O913" i="3"/>
  <c r="X898" i="3" s="1"/>
  <c r="O912" i="3"/>
  <c r="W898" i="3" s="1"/>
  <c r="O289" i="3"/>
  <c r="Y273" i="3" s="1"/>
  <c r="O288" i="3"/>
  <c r="X273" i="3" s="1"/>
  <c r="O287" i="3"/>
  <c r="W273" i="3" s="1"/>
  <c r="O995" i="3"/>
  <c r="Y979" i="3" s="1"/>
  <c r="O994" i="3"/>
  <c r="X979" i="3" s="1"/>
  <c r="O993" i="3"/>
  <c r="W979" i="3" s="1"/>
  <c r="O725" i="3"/>
  <c r="Y709" i="3" s="1"/>
  <c r="O724" i="3"/>
  <c r="X709" i="3" s="1"/>
  <c r="O723" i="3"/>
  <c r="W709" i="3" s="1"/>
  <c r="O590" i="3"/>
  <c r="Y574" i="3" s="1"/>
  <c r="O589" i="3"/>
  <c r="X574" i="3" s="1"/>
  <c r="O588" i="3"/>
  <c r="W574" i="3" s="1"/>
  <c r="O125" i="3"/>
  <c r="W111" i="3" s="1"/>
  <c r="O127" i="3"/>
  <c r="Y111" i="3" s="1"/>
  <c r="O126" i="3"/>
  <c r="X111" i="3" s="1"/>
  <c r="O670" i="3"/>
  <c r="X655" i="3" s="1"/>
  <c r="O669" i="3"/>
  <c r="W655" i="3" s="1"/>
  <c r="O671" i="3"/>
  <c r="Y655" i="3" s="1"/>
  <c r="O751" i="3"/>
  <c r="X736" i="3" s="1"/>
  <c r="O451" i="3"/>
  <c r="Y435" i="3" s="1"/>
  <c r="O450" i="3"/>
  <c r="X435" i="3" s="1"/>
  <c r="O449" i="3"/>
  <c r="W435" i="3" s="1"/>
  <c r="O154" i="3"/>
  <c r="Y138" i="3" s="1"/>
  <c r="O153" i="3"/>
  <c r="X138" i="3" s="1"/>
  <c r="O152" i="3"/>
  <c r="W138" i="3" s="1"/>
  <c r="O478" i="3"/>
  <c r="Y462" i="3" s="1"/>
  <c r="O779" i="3"/>
  <c r="Y763" i="3" s="1"/>
  <c r="O778" i="3"/>
  <c r="X763" i="3" s="1"/>
  <c r="O777" i="3"/>
  <c r="W763" i="3" s="1"/>
  <c r="O532" i="3"/>
  <c r="Y516" i="3" s="1"/>
  <c r="O698" i="3"/>
  <c r="Y682" i="3" s="1"/>
  <c r="O696" i="3"/>
  <c r="W682" i="3" s="1"/>
  <c r="O697" i="3"/>
  <c r="X682" i="3" s="1"/>
  <c r="O477" i="3"/>
  <c r="X462" i="3" s="1"/>
  <c r="O530" i="3"/>
  <c r="W516" i="3" s="1"/>
  <c r="O343" i="3"/>
  <c r="Y327" i="3" s="1"/>
  <c r="O342" i="3"/>
  <c r="X327" i="3" s="1"/>
  <c r="O341" i="3"/>
  <c r="W327" i="3" s="1"/>
  <c r="O644" i="3"/>
  <c r="Y628" i="3" s="1"/>
  <c r="O643" i="3"/>
  <c r="X628" i="3" s="1"/>
  <c r="O642" i="3"/>
  <c r="W628" i="3" s="1"/>
  <c r="O100" i="3"/>
  <c r="Y84" i="3" s="1"/>
  <c r="O99" i="3"/>
  <c r="X84" i="3" s="1"/>
  <c r="O98" i="3"/>
  <c r="W84" i="3" s="1"/>
  <c r="O1076" i="1"/>
  <c r="Y1060" i="1" s="1"/>
  <c r="O1075" i="1"/>
  <c r="X1060" i="1" s="1"/>
  <c r="O1074" i="1"/>
  <c r="W1060" i="1" s="1"/>
  <c r="O1048" i="1"/>
  <c r="X1033" i="1" s="1"/>
  <c r="O1047" i="1"/>
  <c r="W1033" i="1" s="1"/>
  <c r="O1049" i="1"/>
  <c r="Y1033" i="1" s="1"/>
  <c r="O1021" i="1"/>
  <c r="X1006" i="1" s="1"/>
  <c r="O1020" i="1"/>
  <c r="W1006" i="1" s="1"/>
  <c r="O1022" i="1"/>
  <c r="Y1006" i="1" s="1"/>
  <c r="O994" i="1"/>
  <c r="X979" i="1" s="1"/>
  <c r="O993" i="1"/>
  <c r="W979" i="1" s="1"/>
  <c r="O995" i="1"/>
  <c r="Y979" i="1" s="1"/>
  <c r="O968" i="1"/>
  <c r="Y952" i="1" s="1"/>
  <c r="O967" i="1"/>
  <c r="X952" i="1" s="1"/>
  <c r="O966" i="1"/>
  <c r="W952" i="1" s="1"/>
  <c r="O941" i="1"/>
  <c r="Y925" i="1" s="1"/>
  <c r="O940" i="1"/>
  <c r="X925" i="1" s="1"/>
  <c r="O939" i="1"/>
  <c r="W925" i="1" s="1"/>
  <c r="O913" i="1"/>
  <c r="X898" i="1" s="1"/>
  <c r="O912" i="1"/>
  <c r="W898" i="1" s="1"/>
  <c r="O914" i="1"/>
  <c r="Y898" i="1" s="1"/>
  <c r="O887" i="1"/>
  <c r="Y871" i="1" s="1"/>
  <c r="O886" i="1"/>
  <c r="X871" i="1" s="1"/>
  <c r="O885" i="1"/>
  <c r="W871" i="1" s="1"/>
  <c r="O859" i="1"/>
  <c r="X844" i="1" s="1"/>
  <c r="O860" i="1"/>
  <c r="Y844" i="1" s="1"/>
  <c r="O858" i="1"/>
  <c r="W844" i="1" s="1"/>
  <c r="O832" i="1"/>
  <c r="X817" i="1" s="1"/>
  <c r="O831" i="1"/>
  <c r="W817" i="1" s="1"/>
  <c r="O833" i="1"/>
  <c r="Y817" i="1" s="1"/>
  <c r="O805" i="1"/>
  <c r="X790" i="1" s="1"/>
  <c r="O804" i="1"/>
  <c r="W790" i="1" s="1"/>
  <c r="O806" i="1"/>
  <c r="Y790" i="1" s="1"/>
  <c r="O778" i="1"/>
  <c r="X763" i="1" s="1"/>
  <c r="O777" i="1"/>
  <c r="W763" i="1" s="1"/>
  <c r="O779" i="1"/>
  <c r="Y763" i="1" s="1"/>
  <c r="O751" i="1"/>
  <c r="X736" i="1" s="1"/>
  <c r="O750" i="1"/>
  <c r="W736" i="1" s="1"/>
  <c r="O752" i="1"/>
  <c r="Y736" i="1" s="1"/>
  <c r="O724" i="1"/>
  <c r="X709" i="1" s="1"/>
  <c r="O723" i="1"/>
  <c r="W709" i="1" s="1"/>
  <c r="O725" i="1"/>
  <c r="Y709" i="1" s="1"/>
  <c r="O697" i="1"/>
  <c r="X682" i="1" s="1"/>
  <c r="O696" i="1"/>
  <c r="W682" i="1" s="1"/>
  <c r="O698" i="1"/>
  <c r="Y682" i="1" s="1"/>
  <c r="O670" i="1"/>
  <c r="X655" i="1" s="1"/>
  <c r="O671" i="1"/>
  <c r="Y655" i="1" s="1"/>
  <c r="O669" i="1"/>
  <c r="W655" i="1" s="1"/>
  <c r="O643" i="1"/>
  <c r="X628" i="1" s="1"/>
  <c r="O642" i="1"/>
  <c r="W628" i="1" s="1"/>
  <c r="O644" i="1"/>
  <c r="Y628" i="1" s="1"/>
  <c r="O616" i="1"/>
  <c r="X601" i="1" s="1"/>
  <c r="O615" i="1"/>
  <c r="W601" i="1" s="1"/>
  <c r="O617" i="1"/>
  <c r="Y601" i="1" s="1"/>
  <c r="O589" i="1"/>
  <c r="X574" i="1" s="1"/>
  <c r="O588" i="1"/>
  <c r="W574" i="1" s="1"/>
  <c r="O590" i="1"/>
  <c r="Y574" i="1" s="1"/>
  <c r="O562" i="1"/>
  <c r="X547" i="1" s="1"/>
  <c r="O561" i="1"/>
  <c r="W547" i="1" s="1"/>
  <c r="O563" i="1"/>
  <c r="Y547" i="1" s="1"/>
  <c r="O532" i="1"/>
  <c r="Y516" i="1" s="1"/>
  <c r="O531" i="1"/>
  <c r="X516" i="1" s="1"/>
  <c r="O530" i="1"/>
  <c r="W516" i="1" s="1"/>
  <c r="O504" i="1"/>
  <c r="X489" i="1" s="1"/>
  <c r="O503" i="1"/>
  <c r="W489" i="1" s="1"/>
  <c r="O505" i="1"/>
  <c r="Y489" i="1" s="1"/>
  <c r="O477" i="1"/>
  <c r="X462" i="1" s="1"/>
  <c r="O476" i="1"/>
  <c r="W462" i="1" s="1"/>
  <c r="O478" i="1"/>
  <c r="Y462" i="1" s="1"/>
  <c r="O450" i="1"/>
  <c r="X435" i="1" s="1"/>
  <c r="O449" i="1"/>
  <c r="W435" i="1" s="1"/>
  <c r="O451" i="1"/>
  <c r="Y435" i="1" s="1"/>
  <c r="O424" i="1"/>
  <c r="Y408" i="1" s="1"/>
  <c r="O423" i="1"/>
  <c r="X408" i="1" s="1"/>
  <c r="O422" i="1"/>
  <c r="W408" i="1" s="1"/>
  <c r="O396" i="1"/>
  <c r="X381" i="1" s="1"/>
  <c r="O395" i="1"/>
  <c r="W381" i="1" s="1"/>
  <c r="O397" i="1"/>
  <c r="Y381" i="1" s="1"/>
  <c r="O370" i="1"/>
  <c r="Y354" i="1" s="1"/>
  <c r="O369" i="1"/>
  <c r="X354" i="1" s="1"/>
  <c r="O368" i="1"/>
  <c r="W354" i="1" s="1"/>
  <c r="O342" i="1"/>
  <c r="X327" i="1" s="1"/>
  <c r="O341" i="1"/>
  <c r="W327" i="1" s="1"/>
  <c r="O343" i="1"/>
  <c r="Y327" i="1" s="1"/>
  <c r="O315" i="1"/>
  <c r="X300" i="1" s="1"/>
  <c r="O314" i="1"/>
  <c r="W300" i="1" s="1"/>
  <c r="O316" i="1"/>
  <c r="Y300" i="1" s="1"/>
  <c r="O288" i="1"/>
  <c r="X273" i="1" s="1"/>
  <c r="O287" i="1"/>
  <c r="W273" i="1" s="1"/>
  <c r="O289" i="1"/>
  <c r="Y273" i="1" s="1"/>
  <c r="O261" i="1"/>
  <c r="X246" i="1" s="1"/>
  <c r="O260" i="1"/>
  <c r="W246" i="1" s="1"/>
  <c r="O262" i="1"/>
  <c r="Y246" i="1" s="1"/>
  <c r="O234" i="1"/>
  <c r="X219" i="1" s="1"/>
  <c r="O233" i="1"/>
  <c r="W219" i="1" s="1"/>
  <c r="O235" i="1"/>
  <c r="Y219" i="1" s="1"/>
  <c r="O19" i="1"/>
  <c r="Y3" i="1" s="1"/>
  <c r="O17" i="1"/>
  <c r="W3" i="1" s="1"/>
  <c r="O207" i="1"/>
  <c r="X192" i="1" s="1"/>
  <c r="O206" i="1"/>
  <c r="W192" i="1" s="1"/>
  <c r="O208" i="1"/>
  <c r="Y192" i="1" s="1"/>
  <c r="O180" i="1"/>
  <c r="X165" i="1" s="1"/>
  <c r="O179" i="1"/>
  <c r="W165" i="1" s="1"/>
  <c r="O181" i="1"/>
  <c r="Y165" i="1" s="1"/>
  <c r="O153" i="1"/>
  <c r="X138" i="1" s="1"/>
  <c r="O154" i="1"/>
  <c r="Y138" i="1" s="1"/>
  <c r="O152" i="1"/>
  <c r="W138" i="1" s="1"/>
  <c r="O125" i="1"/>
  <c r="W111" i="1" s="1"/>
  <c r="O127" i="1"/>
  <c r="Y111" i="1" s="1"/>
  <c r="O126" i="1"/>
  <c r="X111" i="1" s="1"/>
  <c r="O98" i="1"/>
  <c r="W84" i="1" s="1"/>
  <c r="O99" i="1"/>
  <c r="X84" i="1" s="1"/>
  <c r="O100" i="1"/>
  <c r="Y84" i="1" s="1"/>
  <c r="O71" i="1"/>
  <c r="W57" i="1" s="1"/>
  <c r="O73" i="1"/>
  <c r="Y57" i="1" s="1"/>
  <c r="O72" i="1"/>
  <c r="X57" i="1" s="1"/>
  <c r="O44" i="1"/>
  <c r="W30" i="1" s="1"/>
  <c r="O45" i="1"/>
  <c r="X30" i="1" s="1"/>
  <c r="O46" i="1"/>
  <c r="Y30" i="1" s="1"/>
</calcChain>
</file>

<file path=xl/sharedStrings.xml><?xml version="1.0" encoding="utf-8"?>
<sst xmlns="http://schemas.openxmlformats.org/spreadsheetml/2006/main" count="3650" uniqueCount="82">
  <si>
    <t>50 pct avg lossless</t>
  </si>
  <si>
    <t>Flow size</t>
  </si>
  <si>
    <t>1.8k</t>
  </si>
  <si>
    <t>3.5k</t>
  </si>
  <si>
    <t>4.6k</t>
  </si>
  <si>
    <t>5.5k</t>
  </si>
  <si>
    <t>6.3k</t>
  </si>
  <si>
    <t>7.2k</t>
  </si>
  <si>
    <t>8.6k</t>
  </si>
  <si>
    <t>16k</t>
  </si>
  <si>
    <t>31k</t>
  </si>
  <si>
    <t>2.0m</t>
  </si>
  <si>
    <t>Fecmp</t>
  </si>
  <si>
    <t>conweave</t>
  </si>
  <si>
    <t>letflow</t>
  </si>
  <si>
    <t>pct error</t>
  </si>
  <si>
    <t>Flow Size</t>
  </si>
  <si>
    <t>Vs. FECMP</t>
  </si>
  <si>
    <t xml:space="preserve">Vs. Letflow </t>
  </si>
  <si>
    <t>Average:</t>
  </si>
  <si>
    <t>min</t>
  </si>
  <si>
    <t>max</t>
  </si>
  <si>
    <t>avg</t>
  </si>
  <si>
    <t>Min</t>
  </si>
  <si>
    <t>Max</t>
  </si>
  <si>
    <t>Avg</t>
  </si>
  <si>
    <t>10 pct avg lossless</t>
  </si>
  <si>
    <t>10 pct P99 lossless</t>
  </si>
  <si>
    <t>20 pct avg lossless</t>
  </si>
  <si>
    <t>20 pct P99 lossless</t>
  </si>
  <si>
    <t>30 pct avg lossless</t>
  </si>
  <si>
    <t>30 pct P99 lossless</t>
  </si>
  <si>
    <t>40 pct avg lossless</t>
  </si>
  <si>
    <t>40 pct p99 lossless</t>
  </si>
  <si>
    <t>50 pct P99 lossless</t>
  </si>
  <si>
    <t>60 pct avg lossless</t>
  </si>
  <si>
    <t>60 pct p99 lossless</t>
  </si>
  <si>
    <t>70 pct avg lossless</t>
  </si>
  <si>
    <t>70 pct P99 lossless</t>
  </si>
  <si>
    <t>80 pct avg lossless</t>
  </si>
  <si>
    <t>80 pct P99 lossless</t>
  </si>
  <si>
    <t>90 pct avg lossless</t>
  </si>
  <si>
    <t>90 pct P99 lossless</t>
  </si>
  <si>
    <t>100 pct avg lossless</t>
  </si>
  <si>
    <t>100 pct P99 lossless</t>
  </si>
  <si>
    <t>IRN RDMA Experiments</t>
  </si>
  <si>
    <t>100 pct P99 IRN</t>
  </si>
  <si>
    <t>100 pct avg IRN</t>
  </si>
  <si>
    <t>10 pct avg IRN</t>
  </si>
  <si>
    <t>10 pct P99 IRN</t>
  </si>
  <si>
    <t>20 pct avg IRN</t>
  </si>
  <si>
    <t>20 pct P99 IRN</t>
  </si>
  <si>
    <t>30 pct avg IRN</t>
  </si>
  <si>
    <t>30 pct P99 IRN</t>
  </si>
  <si>
    <t>40 pct avg IRN</t>
  </si>
  <si>
    <t>40 pct P99 IRN</t>
  </si>
  <si>
    <t>50 pct avg IRN</t>
  </si>
  <si>
    <t>50 pct P99 IRN</t>
  </si>
  <si>
    <t>60 pct avg IRN</t>
  </si>
  <si>
    <t>60 pct P99 IRN</t>
  </si>
  <si>
    <t>70 pct avg IRN</t>
  </si>
  <si>
    <t>70 pct P99 IRN</t>
  </si>
  <si>
    <t>80 pct avg IRN</t>
  </si>
  <si>
    <t>80 pct P99 IRN</t>
  </si>
  <si>
    <t>90 pct avg IRN</t>
  </si>
  <si>
    <t>90 pct P99 IRN</t>
  </si>
  <si>
    <t>Lossless RDMA Experiments</t>
  </si>
  <si>
    <t>50% Network Load - Avg FCT Slowdown Improvement</t>
  </si>
  <si>
    <t>50% Network Load - P99 FCT Slowdown Improvement</t>
  </si>
  <si>
    <t>80% Network Load, Avg FCT Slowdown Improvement</t>
  </si>
  <si>
    <t>80% Network Load, P99 FCT Slowdown Improvement</t>
  </si>
  <si>
    <t>Avg.</t>
  </si>
  <si>
    <t>Min.</t>
  </si>
  <si>
    <t>Max.</t>
  </si>
  <si>
    <t xml:space="preserve">Min. </t>
  </si>
  <si>
    <t>Test Group 1</t>
  </si>
  <si>
    <t>Test Group 2</t>
  </si>
  <si>
    <t>0.1 Seconds Traffic Gen</t>
  </si>
  <si>
    <t>0.5 Seconds Traffic Gen</t>
  </si>
  <si>
    <t>Min Original tests</t>
  </si>
  <si>
    <t>Avg Original  tests</t>
  </si>
  <si>
    <t>Max Original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</si>
</sst>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0" borderId="0" xfId="0" quotePrefix="1"/>
    <xf numFmtId="165" fontId="0" fillId="0" borderId="0" xfId="1" applyNumberFormat="1" applyFont="1"/>
    <xf numFmtId="10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9" fontId="0" fillId="4" borderId="5" xfId="0" applyNumberFormat="1" applyFill="1" applyBorder="1"/>
    <xf numFmtId="9" fontId="0" fillId="4" borderId="6" xfId="0" applyNumberFormat="1" applyFill="1" applyBorder="1"/>
    <xf numFmtId="9" fontId="0" fillId="4" borderId="7" xfId="0" applyNumberFormat="1" applyFill="1" applyBorder="1"/>
    <xf numFmtId="9" fontId="0" fillId="4" borderId="8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/>
    <xf numFmtId="0" fontId="0" fillId="5" borderId="3" xfId="0" applyFill="1" applyBorder="1" applyAlignment="1">
      <alignment horizontal="center"/>
    </xf>
    <xf numFmtId="9" fontId="0" fillId="5" borderId="7" xfId="0" applyNumberFormat="1" applyFill="1" applyBorder="1"/>
    <xf numFmtId="9" fontId="0" fillId="5" borderId="5" xfId="0" applyNumberFormat="1" applyFill="1" applyBorder="1"/>
    <xf numFmtId="9" fontId="0" fillId="5" borderId="8" xfId="0" applyNumberFormat="1" applyFill="1" applyBorder="1"/>
    <xf numFmtId="0" fontId="0" fillId="5" borderId="7" xfId="0" applyFill="1" applyBorder="1"/>
    <xf numFmtId="0" fontId="0" fillId="5" borderId="8" xfId="0" applyFill="1" applyBorder="1"/>
    <xf numFmtId="9" fontId="0" fillId="5" borderId="9" xfId="0" applyNumberFormat="1" applyFill="1" applyBorder="1"/>
    <xf numFmtId="9" fontId="0" fillId="5" borderId="10" xfId="0" applyNumberFormat="1" applyFill="1" applyBorder="1"/>
    <xf numFmtId="9" fontId="0" fillId="5" borderId="11" xfId="0" applyNumberFormat="1" applyFill="1" applyBorder="1"/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3" borderId="4" xfId="0" applyFill="1" applyBorder="1"/>
    <xf numFmtId="0" fontId="0" fillId="5" borderId="1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5" borderId="16" xfId="0" applyFill="1" applyBorder="1" applyAlignment="1">
      <alignment wrapText="1"/>
    </xf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9" fontId="0" fillId="5" borderId="6" xfId="0" applyNumberFormat="1" applyFill="1" applyBorder="1"/>
    <xf numFmtId="0" fontId="0" fillId="5" borderId="6" xfId="0" applyFill="1" applyBorder="1"/>
    <xf numFmtId="9" fontId="0" fillId="5" borderId="12" xfId="0" applyNumberFormat="1" applyFill="1" applyBorder="1"/>
    <xf numFmtId="0" fontId="0" fillId="3" borderId="13" xfId="0" applyFill="1" applyBorder="1"/>
    <xf numFmtId="0" fontId="0" fillId="3" borderId="13" xfId="0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Gen'!$I$4:$I$13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Gen'!$J$4:$J$13</c:f>
              <c:numCache>
                <c:formatCode>0%</c:formatCode>
                <c:ptCount val="10"/>
                <c:pt idx="0">
                  <c:v>6.2709547355520121E-3</c:v>
                </c:pt>
                <c:pt idx="1">
                  <c:v>5.7063296596700057E-3</c:v>
                </c:pt>
                <c:pt idx="2">
                  <c:v>2.5572066259563647E-3</c:v>
                </c:pt>
                <c:pt idx="3">
                  <c:v>6.3345234274351531E-3</c:v>
                </c:pt>
                <c:pt idx="4">
                  <c:v>2.3978920459570945E-3</c:v>
                </c:pt>
                <c:pt idx="5">
                  <c:v>5.1624810785252835E-3</c:v>
                </c:pt>
                <c:pt idx="6">
                  <c:v>7.9614986803107374E-3</c:v>
                </c:pt>
                <c:pt idx="7">
                  <c:v>6.6926193130692254E-3</c:v>
                </c:pt>
                <c:pt idx="8">
                  <c:v>5.7123448705551734E-3</c:v>
                </c:pt>
                <c:pt idx="9">
                  <c:v>0.12358161130559966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A-41FD-8736-FFF208D880C7}"/>
            </c:ext>
          </c:extLst>
        </c:ser>
        <c:ser>
          <c:idx val="1"/>
          <c:order val="1"/>
          <c:tx>
            <c:strRef>
              <c:f>'0.1 Seconds Traffic Gen'!$K$3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Gen'!$I$4:$I$13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Gen'!$K$4:$K$13</c:f>
              <c:numCache>
                <c:formatCode>0%</c:formatCode>
                <c:ptCount val="10"/>
                <c:pt idx="0">
                  <c:v>7.1371327753093584E-3</c:v>
                </c:pt>
                <c:pt idx="1">
                  <c:v>8.5019830779369098E-3</c:v>
                </c:pt>
                <c:pt idx="2">
                  <c:v>3.8083700963104086E-3</c:v>
                </c:pt>
                <c:pt idx="3">
                  <c:v>5.9792506678777221E-3</c:v>
                </c:pt>
                <c:pt idx="4">
                  <c:v>6.9002060566605008E-3</c:v>
                </c:pt>
                <c:pt idx="5">
                  <c:v>7.2504019275672375E-3</c:v>
                </c:pt>
                <c:pt idx="6">
                  <c:v>7.1779780884772323E-3</c:v>
                </c:pt>
                <c:pt idx="7">
                  <c:v>6.0049248870943763E-3</c:v>
                </c:pt>
                <c:pt idx="8">
                  <c:v>1.376894794164057E-3</c:v>
                </c:pt>
                <c:pt idx="9">
                  <c:v>0.14119408465926264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1A-41FD-8736-FFF208D88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Gen'!$J$30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Gen'!$I$31:$I$40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Gen'!$J$31:$J$40</c:f>
              <c:numCache>
                <c:formatCode>0%</c:formatCode>
                <c:ptCount val="10"/>
                <c:pt idx="0">
                  <c:v>7.7993816557883927E-2</c:v>
                </c:pt>
                <c:pt idx="1">
                  <c:v>0.11701060672675304</c:v>
                </c:pt>
                <c:pt idx="2">
                  <c:v>6.8318487740770706E-2</c:v>
                </c:pt>
                <c:pt idx="3">
                  <c:v>0.1330213458128342</c:v>
                </c:pt>
                <c:pt idx="4">
                  <c:v>4.3213474564347876E-2</c:v>
                </c:pt>
                <c:pt idx="5">
                  <c:v>8.024290169046451E-2</c:v>
                </c:pt>
                <c:pt idx="6">
                  <c:v>0.19278930276431652</c:v>
                </c:pt>
                <c:pt idx="7">
                  <c:v>0.10161465916394501</c:v>
                </c:pt>
                <c:pt idx="8">
                  <c:v>6.4854630838432598E-2</c:v>
                </c:pt>
                <c:pt idx="9">
                  <c:v>0.32356377430061639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1-4CD4-9C68-C6D4577EE97E}"/>
            </c:ext>
          </c:extLst>
        </c:ser>
        <c:ser>
          <c:idx val="1"/>
          <c:order val="1"/>
          <c:tx>
            <c:strRef>
              <c:f>'0.1 Seconds Traffic Gen'!$K$30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Gen'!$I$31:$I$40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Gen'!$K$31:$K$40</c:f>
              <c:numCache>
                <c:formatCode>0%</c:formatCode>
                <c:ptCount val="10"/>
                <c:pt idx="0">
                  <c:v>0.13897629680522158</c:v>
                </c:pt>
                <c:pt idx="1">
                  <c:v>0.15074741701472841</c:v>
                </c:pt>
                <c:pt idx="2">
                  <c:v>0.12130464217918256</c:v>
                </c:pt>
                <c:pt idx="3">
                  <c:v>7.4763676119621869E-2</c:v>
                </c:pt>
                <c:pt idx="4">
                  <c:v>0.12279326539773137</c:v>
                </c:pt>
                <c:pt idx="5">
                  <c:v>0.10799277859839165</c:v>
                </c:pt>
                <c:pt idx="6">
                  <c:v>0.16514613650928514</c:v>
                </c:pt>
                <c:pt idx="7">
                  <c:v>0.11230472592767485</c:v>
                </c:pt>
                <c:pt idx="8">
                  <c:v>3.3336839434981363E-2</c:v>
                </c:pt>
                <c:pt idx="9">
                  <c:v>0.32288288288288286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A1-4CD4-9C68-C6D4577EE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Gen'!$J$57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Gen'!$I$58:$I$67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Gen'!$J$58:$J$67</c:f>
              <c:numCache>
                <c:formatCode>0%</c:formatCode>
                <c:ptCount val="10"/>
                <c:pt idx="0">
                  <c:v>3.7789689423676331E-2</c:v>
                </c:pt>
                <c:pt idx="1">
                  <c:v>2.7946705457233042E-2</c:v>
                </c:pt>
                <c:pt idx="2">
                  <c:v>2.9942923367937201E-2</c:v>
                </c:pt>
                <c:pt idx="3">
                  <c:v>2.9888821591078567E-2</c:v>
                </c:pt>
                <c:pt idx="4">
                  <c:v>3.2560390819019486E-2</c:v>
                </c:pt>
                <c:pt idx="5">
                  <c:v>2.657616486830848E-2</c:v>
                </c:pt>
                <c:pt idx="6">
                  <c:v>2.2652369089975626E-2</c:v>
                </c:pt>
                <c:pt idx="7">
                  <c:v>1.7172050549265669E-2</c:v>
                </c:pt>
                <c:pt idx="8">
                  <c:v>2.2299281129535078E-2</c:v>
                </c:pt>
                <c:pt idx="9">
                  <c:v>0.19737216755067441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3-459C-B180-31B1EBABEC05}"/>
            </c:ext>
          </c:extLst>
        </c:ser>
        <c:ser>
          <c:idx val="1"/>
          <c:order val="1"/>
          <c:tx>
            <c:strRef>
              <c:f>'0.1 Seconds Traffic Gen'!$K$57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Gen'!$I$58:$I$67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Gen'!$K$58:$K$67</c:f>
              <c:numCache>
                <c:formatCode>0%</c:formatCode>
                <c:ptCount val="10"/>
                <c:pt idx="0">
                  <c:v>3.7874427233958438E-2</c:v>
                </c:pt>
                <c:pt idx="1">
                  <c:v>2.6491809961500301E-2</c:v>
                </c:pt>
                <c:pt idx="2">
                  <c:v>2.6853481846726632E-2</c:v>
                </c:pt>
                <c:pt idx="3">
                  <c:v>2.5348072986781364E-2</c:v>
                </c:pt>
                <c:pt idx="4">
                  <c:v>2.947368525369758E-2</c:v>
                </c:pt>
                <c:pt idx="5">
                  <c:v>2.5420504584187445E-2</c:v>
                </c:pt>
                <c:pt idx="6">
                  <c:v>1.9405322892151418E-2</c:v>
                </c:pt>
                <c:pt idx="7">
                  <c:v>1.9131905314939083E-2</c:v>
                </c:pt>
                <c:pt idx="8">
                  <c:v>2.3597245341554555E-2</c:v>
                </c:pt>
                <c:pt idx="9">
                  <c:v>0.19702607852595219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23-459C-B180-31B1EBABE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Gen'!$J$84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Gen'!$I$85:$I$94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Gen'!$J$85:$J$94</c:f>
              <c:numCache>
                <c:formatCode>0%</c:formatCode>
                <c:ptCount val="10"/>
                <c:pt idx="0">
                  <c:v>0.50747061838943164</c:v>
                </c:pt>
                <c:pt idx="1">
                  <c:v>0.33733474627799109</c:v>
                </c:pt>
                <c:pt idx="2">
                  <c:v>0.36703579021970228</c:v>
                </c:pt>
                <c:pt idx="3">
                  <c:v>0.35947744463114911</c:v>
                </c:pt>
                <c:pt idx="4">
                  <c:v>0.36237400814926018</c:v>
                </c:pt>
                <c:pt idx="5">
                  <c:v>0.37265179733429066</c:v>
                </c:pt>
                <c:pt idx="6">
                  <c:v>0.30945428424484317</c:v>
                </c:pt>
                <c:pt idx="7">
                  <c:v>0.21320659260203761</c:v>
                </c:pt>
                <c:pt idx="8">
                  <c:v>0.25914089256314771</c:v>
                </c:pt>
                <c:pt idx="9">
                  <c:v>0.31856757925448997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A-4CEC-9934-B84AD59531A7}"/>
            </c:ext>
          </c:extLst>
        </c:ser>
        <c:ser>
          <c:idx val="1"/>
          <c:order val="1"/>
          <c:tx>
            <c:strRef>
              <c:f>'0.1 Seconds Traffic Gen'!$K$84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Gen'!$I$85:$I$94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Gen'!$K$85:$K$94</c:f>
              <c:numCache>
                <c:formatCode>0%</c:formatCode>
                <c:ptCount val="10"/>
                <c:pt idx="0">
                  <c:v>0.51730446355927839</c:v>
                </c:pt>
                <c:pt idx="1">
                  <c:v>0.31478119625453854</c:v>
                </c:pt>
                <c:pt idx="2">
                  <c:v>0.3246102055279943</c:v>
                </c:pt>
                <c:pt idx="3">
                  <c:v>0.37371355728987915</c:v>
                </c:pt>
                <c:pt idx="4">
                  <c:v>0.34963185359925664</c:v>
                </c:pt>
                <c:pt idx="5">
                  <c:v>0.36613561908181136</c:v>
                </c:pt>
                <c:pt idx="6">
                  <c:v>0.21033370312280836</c:v>
                </c:pt>
                <c:pt idx="7">
                  <c:v>0.16193993937175316</c:v>
                </c:pt>
                <c:pt idx="8">
                  <c:v>0.28774552529868042</c:v>
                </c:pt>
                <c:pt idx="9">
                  <c:v>0.32233467777304137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3A-4CEC-9934-B84AD5953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Gen'!$J$111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Gen'!$I$112:$I$121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Gen'!$J$112:$J$121</c:f>
              <c:numCache>
                <c:formatCode>0%</c:formatCode>
                <c:ptCount val="10"/>
                <c:pt idx="0">
                  <c:v>5.8340778984607343E-2</c:v>
                </c:pt>
                <c:pt idx="1">
                  <c:v>7.0049232072241549E-2</c:v>
                </c:pt>
                <c:pt idx="2">
                  <c:v>5.9468499590621796E-2</c:v>
                </c:pt>
                <c:pt idx="3">
                  <c:v>5.3236703768195691E-2</c:v>
                </c:pt>
                <c:pt idx="4">
                  <c:v>6.5691554584567435E-2</c:v>
                </c:pt>
                <c:pt idx="5">
                  <c:v>7.5555481650918369E-2</c:v>
                </c:pt>
                <c:pt idx="6">
                  <c:v>7.5394814146684072E-2</c:v>
                </c:pt>
                <c:pt idx="7">
                  <c:v>5.8575835022057203E-2</c:v>
                </c:pt>
                <c:pt idx="8">
                  <c:v>4.4176835105254018E-2</c:v>
                </c:pt>
                <c:pt idx="9">
                  <c:v>0.24310261536356539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0-45FB-AB9D-51188AA76D89}"/>
            </c:ext>
          </c:extLst>
        </c:ser>
        <c:ser>
          <c:idx val="1"/>
          <c:order val="1"/>
          <c:tx>
            <c:strRef>
              <c:f>'0.1 Seconds Traffic Gen'!$K$111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Gen'!$I$112:$I$121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Gen'!$K$112:$K$121</c:f>
              <c:numCache>
                <c:formatCode>0%</c:formatCode>
                <c:ptCount val="10"/>
                <c:pt idx="0">
                  <c:v>4.9151643327023729E-2</c:v>
                </c:pt>
                <c:pt idx="1">
                  <c:v>6.140043637465175E-2</c:v>
                </c:pt>
                <c:pt idx="2">
                  <c:v>5.3341959808480055E-2</c:v>
                </c:pt>
                <c:pt idx="3">
                  <c:v>5.3005878059769598E-2</c:v>
                </c:pt>
                <c:pt idx="4">
                  <c:v>5.5491972150910757E-2</c:v>
                </c:pt>
                <c:pt idx="5">
                  <c:v>6.4033669909727559E-2</c:v>
                </c:pt>
                <c:pt idx="6">
                  <c:v>7.3822486089602291E-2</c:v>
                </c:pt>
                <c:pt idx="7">
                  <c:v>5.2820165839122898E-2</c:v>
                </c:pt>
                <c:pt idx="8">
                  <c:v>4.5258041157419278E-2</c:v>
                </c:pt>
                <c:pt idx="9">
                  <c:v>0.24251525376130209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D0-45FB-AB9D-51188AA76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Gen'!$J$138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Gen'!$I$139:$I$148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Gen'!$J$139:$J$148</c:f>
              <c:numCache>
                <c:formatCode>0%</c:formatCode>
                <c:ptCount val="10"/>
                <c:pt idx="0">
                  <c:v>0.41208252498070397</c:v>
                </c:pt>
                <c:pt idx="1">
                  <c:v>0.63767375003704696</c:v>
                </c:pt>
                <c:pt idx="2">
                  <c:v>0.48587813770565241</c:v>
                </c:pt>
                <c:pt idx="3">
                  <c:v>0.40352421331329713</c:v>
                </c:pt>
                <c:pt idx="4">
                  <c:v>0.49899516214983053</c:v>
                </c:pt>
                <c:pt idx="5">
                  <c:v>0.55300013137891557</c:v>
                </c:pt>
                <c:pt idx="6">
                  <c:v>0.48151357697696939</c:v>
                </c:pt>
                <c:pt idx="7">
                  <c:v>0.29293948803240549</c:v>
                </c:pt>
                <c:pt idx="8">
                  <c:v>0.31804722363835708</c:v>
                </c:pt>
                <c:pt idx="9">
                  <c:v>0.31426616647704553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A-4F6D-8552-CC2C39819252}"/>
            </c:ext>
          </c:extLst>
        </c:ser>
        <c:ser>
          <c:idx val="1"/>
          <c:order val="1"/>
          <c:tx>
            <c:strRef>
              <c:f>'0.1 Seconds Traffic Gen'!$K$138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Gen'!$I$139:$I$148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Gen'!$K$139:$K$148</c:f>
              <c:numCache>
                <c:formatCode>0%</c:formatCode>
                <c:ptCount val="10"/>
                <c:pt idx="0">
                  <c:v>0.40084207744887396</c:v>
                </c:pt>
                <c:pt idx="1">
                  <c:v>0.46888429507127827</c:v>
                </c:pt>
                <c:pt idx="2">
                  <c:v>0.32837178706638964</c:v>
                </c:pt>
                <c:pt idx="3">
                  <c:v>0.4013095046423012</c:v>
                </c:pt>
                <c:pt idx="4">
                  <c:v>0.41821107515908484</c:v>
                </c:pt>
                <c:pt idx="5">
                  <c:v>0.55245584730016317</c:v>
                </c:pt>
                <c:pt idx="6">
                  <c:v>0.51265099604099473</c:v>
                </c:pt>
                <c:pt idx="7">
                  <c:v>0.34374392231290796</c:v>
                </c:pt>
                <c:pt idx="8">
                  <c:v>0.31833704632274373</c:v>
                </c:pt>
                <c:pt idx="9">
                  <c:v>0.31740516384285039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EA-4F6D-8552-CC2C39819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Gen'!$J$165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Gen'!$I$166:$I$175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Gen'!$J$166:$J$175</c:f>
              <c:numCache>
                <c:formatCode>0%</c:formatCode>
                <c:ptCount val="10"/>
                <c:pt idx="0">
                  <c:v>0.14633746367089015</c:v>
                </c:pt>
                <c:pt idx="1">
                  <c:v>0.1463397708432172</c:v>
                </c:pt>
                <c:pt idx="2">
                  <c:v>0.15062896983064483</c:v>
                </c:pt>
                <c:pt idx="3">
                  <c:v>0.1384359431260169</c:v>
                </c:pt>
                <c:pt idx="4">
                  <c:v>0.14714229031079634</c:v>
                </c:pt>
                <c:pt idx="5">
                  <c:v>0.14329594941999213</c:v>
                </c:pt>
                <c:pt idx="6">
                  <c:v>0.1446768055558573</c:v>
                </c:pt>
                <c:pt idx="7">
                  <c:v>0.11946299937052743</c:v>
                </c:pt>
                <c:pt idx="8">
                  <c:v>0.10192682362044443</c:v>
                </c:pt>
                <c:pt idx="9">
                  <c:v>0.33734181318527684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6-4C32-AB85-28AAB89CEFA6}"/>
            </c:ext>
          </c:extLst>
        </c:ser>
        <c:ser>
          <c:idx val="1"/>
          <c:order val="1"/>
          <c:tx>
            <c:strRef>
              <c:f>'0.1 Seconds Traffic Gen'!$K$165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Gen'!$I$166:$I$175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Gen'!$K$166:$K$175</c:f>
              <c:numCache>
                <c:formatCode>0%</c:formatCode>
                <c:ptCount val="10"/>
                <c:pt idx="0">
                  <c:v>0.14602757365951877</c:v>
                </c:pt>
                <c:pt idx="1">
                  <c:v>0.15777577040759158</c:v>
                </c:pt>
                <c:pt idx="2">
                  <c:v>0.14612777188798509</c:v>
                </c:pt>
                <c:pt idx="3">
                  <c:v>0.12685181806560977</c:v>
                </c:pt>
                <c:pt idx="4">
                  <c:v>0.12609067445317571</c:v>
                </c:pt>
                <c:pt idx="5">
                  <c:v>0.14008563473536925</c:v>
                </c:pt>
                <c:pt idx="6">
                  <c:v>0.15287008689978465</c:v>
                </c:pt>
                <c:pt idx="7">
                  <c:v>0.11402140151511791</c:v>
                </c:pt>
                <c:pt idx="8">
                  <c:v>9.0826616497379609E-2</c:v>
                </c:pt>
                <c:pt idx="9">
                  <c:v>0.32760201077278139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6-4C32-AB85-28AAB89CE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Gen'!$J$192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Gen'!$I$193:$I$202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Gen'!$J$193:$J$202</c:f>
              <c:numCache>
                <c:formatCode>0%</c:formatCode>
                <c:ptCount val="10"/>
                <c:pt idx="0">
                  <c:v>0.70958036468484809</c:v>
                </c:pt>
                <c:pt idx="1">
                  <c:v>0.62816508293977247</c:v>
                </c:pt>
                <c:pt idx="2">
                  <c:v>0.69052533677357419</c:v>
                </c:pt>
                <c:pt idx="3">
                  <c:v>0.68110015062100293</c:v>
                </c:pt>
                <c:pt idx="4">
                  <c:v>0.70778393756135538</c:v>
                </c:pt>
                <c:pt idx="5">
                  <c:v>0.81006136426125441</c:v>
                </c:pt>
                <c:pt idx="6">
                  <c:v>0.70923836623858083</c:v>
                </c:pt>
                <c:pt idx="7">
                  <c:v>0.61503512137427718</c:v>
                </c:pt>
                <c:pt idx="8">
                  <c:v>0.53328411689504285</c:v>
                </c:pt>
                <c:pt idx="9">
                  <c:v>0.63900791431650594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0-4CDC-9A4E-0192A6A58A75}"/>
            </c:ext>
          </c:extLst>
        </c:ser>
        <c:ser>
          <c:idx val="1"/>
          <c:order val="1"/>
          <c:tx>
            <c:strRef>
              <c:f>'0.1 Seconds Traffic Gen'!$K$192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Gen'!$I$193:$I$202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Gen'!$K$193:$K$202</c:f>
              <c:numCache>
                <c:formatCode>0%</c:formatCode>
                <c:ptCount val="10"/>
                <c:pt idx="0">
                  <c:v>0.69045067740404553</c:v>
                </c:pt>
                <c:pt idx="1">
                  <c:v>0.71566287430708808</c:v>
                </c:pt>
                <c:pt idx="2">
                  <c:v>0.67807146500255033</c:v>
                </c:pt>
                <c:pt idx="3">
                  <c:v>0.70602051902516116</c:v>
                </c:pt>
                <c:pt idx="4">
                  <c:v>0.634383613004044</c:v>
                </c:pt>
                <c:pt idx="5">
                  <c:v>0.75222148623990803</c:v>
                </c:pt>
                <c:pt idx="6">
                  <c:v>0.78952031618067275</c:v>
                </c:pt>
                <c:pt idx="7">
                  <c:v>0.58320231930882294</c:v>
                </c:pt>
                <c:pt idx="8">
                  <c:v>0.56999837945873932</c:v>
                </c:pt>
                <c:pt idx="9">
                  <c:v>0.6540563495384859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60-4CDC-9A4E-0192A6A58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Gen'!$J$219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Gen'!$I$220:$I$229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Gen'!$J$220:$J$229</c:f>
              <c:numCache>
                <c:formatCode>0%</c:formatCode>
                <c:ptCount val="10"/>
                <c:pt idx="0">
                  <c:v>0.33027037904605694</c:v>
                </c:pt>
                <c:pt idx="1">
                  <c:v>0.31761228122354102</c:v>
                </c:pt>
                <c:pt idx="2">
                  <c:v>0.30130897066136469</c:v>
                </c:pt>
                <c:pt idx="3">
                  <c:v>0.28408367079015667</c:v>
                </c:pt>
                <c:pt idx="4">
                  <c:v>0.28145410833888557</c:v>
                </c:pt>
                <c:pt idx="5">
                  <c:v>0.28500540494908522</c:v>
                </c:pt>
                <c:pt idx="6">
                  <c:v>0.27594795721560766</c:v>
                </c:pt>
                <c:pt idx="7">
                  <c:v>0.27251370072145054</c:v>
                </c:pt>
                <c:pt idx="8">
                  <c:v>0.21457166691557317</c:v>
                </c:pt>
                <c:pt idx="9">
                  <c:v>0.43167542993292135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5-401F-A495-6BD316A83BEB}"/>
            </c:ext>
          </c:extLst>
        </c:ser>
        <c:ser>
          <c:idx val="1"/>
          <c:order val="1"/>
          <c:tx>
            <c:strRef>
              <c:f>'0.1 Seconds Traffic Gen'!$K$219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Gen'!$I$220:$I$229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Gen'!$K$220:$K$229</c:f>
              <c:numCache>
                <c:formatCode>0%</c:formatCode>
                <c:ptCount val="10"/>
                <c:pt idx="0">
                  <c:v>0.33608945849425542</c:v>
                </c:pt>
                <c:pt idx="1">
                  <c:v>0.31046223006739648</c:v>
                </c:pt>
                <c:pt idx="2">
                  <c:v>0.30141443611637886</c:v>
                </c:pt>
                <c:pt idx="3">
                  <c:v>0.29877713053070754</c:v>
                </c:pt>
                <c:pt idx="4">
                  <c:v>0.28722736956214479</c:v>
                </c:pt>
                <c:pt idx="5">
                  <c:v>0.29141607906008576</c:v>
                </c:pt>
                <c:pt idx="6">
                  <c:v>0.27838335246092472</c:v>
                </c:pt>
                <c:pt idx="7">
                  <c:v>0.2555556082112852</c:v>
                </c:pt>
                <c:pt idx="8">
                  <c:v>0.2144323048574405</c:v>
                </c:pt>
                <c:pt idx="9">
                  <c:v>0.44751238621417422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75-401F-A495-6BD316A83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Gen'!$J$246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Gen'!$I$247:$I$256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Gen'!$J$247:$J$256</c:f>
              <c:numCache>
                <c:formatCode>0%</c:formatCode>
                <c:ptCount val="10"/>
                <c:pt idx="0">
                  <c:v>1.217646630346598</c:v>
                </c:pt>
                <c:pt idx="1">
                  <c:v>1.1797944654642096</c:v>
                </c:pt>
                <c:pt idx="2">
                  <c:v>1.1861992431065114</c:v>
                </c:pt>
                <c:pt idx="3">
                  <c:v>0.99308015090853097</c:v>
                </c:pt>
                <c:pt idx="4">
                  <c:v>1.1093591936694684</c:v>
                </c:pt>
                <c:pt idx="5">
                  <c:v>1.0540993202642486</c:v>
                </c:pt>
                <c:pt idx="6">
                  <c:v>1.1021866393326387</c:v>
                </c:pt>
                <c:pt idx="7">
                  <c:v>1.1358155842796591</c:v>
                </c:pt>
                <c:pt idx="8">
                  <c:v>0.9804062615997029</c:v>
                </c:pt>
                <c:pt idx="9">
                  <c:v>0.84492066331039284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D-42BD-B64A-8E7E86EB2DD6}"/>
            </c:ext>
          </c:extLst>
        </c:ser>
        <c:ser>
          <c:idx val="1"/>
          <c:order val="1"/>
          <c:tx>
            <c:strRef>
              <c:f>'0.1 Seconds Traffic Gen'!$K$246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Gen'!$I$247:$I$256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Gen'!$K$247:$K$256</c:f>
              <c:numCache>
                <c:formatCode>0%</c:formatCode>
                <c:ptCount val="10"/>
                <c:pt idx="0">
                  <c:v>1.3645947147518254</c:v>
                </c:pt>
                <c:pt idx="1">
                  <c:v>1.2561461161000405</c:v>
                </c:pt>
                <c:pt idx="2">
                  <c:v>1.2745166068730651</c:v>
                </c:pt>
                <c:pt idx="3">
                  <c:v>1.1542120611333542</c:v>
                </c:pt>
                <c:pt idx="4">
                  <c:v>1.1977281957246761</c:v>
                </c:pt>
                <c:pt idx="5">
                  <c:v>1.1925432151859419</c:v>
                </c:pt>
                <c:pt idx="6">
                  <c:v>1.2081250730828657</c:v>
                </c:pt>
                <c:pt idx="7">
                  <c:v>1.2771181118844526</c:v>
                </c:pt>
                <c:pt idx="8">
                  <c:v>1.0214599306257759</c:v>
                </c:pt>
                <c:pt idx="9">
                  <c:v>1.0200720290148027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5D-42BD-B64A-8E7E86EB2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Gen'!$J$273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Gen'!$I$274:$I$283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Gen'!$J$274:$J$283</c:f>
              <c:numCache>
                <c:formatCode>0%</c:formatCode>
                <c:ptCount val="10"/>
                <c:pt idx="0">
                  <c:v>0.64339124775155343</c:v>
                </c:pt>
                <c:pt idx="1">
                  <c:v>0.64343071249530392</c:v>
                </c:pt>
                <c:pt idx="2">
                  <c:v>0.61113409714633282</c:v>
                </c:pt>
                <c:pt idx="3">
                  <c:v>0.63959165014685004</c:v>
                </c:pt>
                <c:pt idx="4">
                  <c:v>0.59179620823046264</c:v>
                </c:pt>
                <c:pt idx="5">
                  <c:v>0.56870554856616296</c:v>
                </c:pt>
                <c:pt idx="6">
                  <c:v>0.57729475672645592</c:v>
                </c:pt>
                <c:pt idx="7">
                  <c:v>0.55048367736517967</c:v>
                </c:pt>
                <c:pt idx="8">
                  <c:v>0.44903759161276885</c:v>
                </c:pt>
                <c:pt idx="9">
                  <c:v>0.62239373427147715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7-4602-91F5-43034DA8D6BC}"/>
            </c:ext>
          </c:extLst>
        </c:ser>
        <c:ser>
          <c:idx val="1"/>
          <c:order val="1"/>
          <c:tx>
            <c:strRef>
              <c:f>'0.1 Seconds Traffic Gen'!$K$273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Gen'!$I$274:$I$283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Gen'!$K$274:$K$283</c:f>
              <c:numCache>
                <c:formatCode>0%</c:formatCode>
                <c:ptCount val="10"/>
                <c:pt idx="0">
                  <c:v>0.70625019658725841</c:v>
                </c:pt>
                <c:pt idx="1">
                  <c:v>0.6851273887963244</c:v>
                </c:pt>
                <c:pt idx="2">
                  <c:v>0.65664755672760156</c:v>
                </c:pt>
                <c:pt idx="3">
                  <c:v>0.66362319079047616</c:v>
                </c:pt>
                <c:pt idx="4">
                  <c:v>0.66162390707773899</c:v>
                </c:pt>
                <c:pt idx="5">
                  <c:v>0.64712717203126968</c:v>
                </c:pt>
                <c:pt idx="6">
                  <c:v>0.6366296560401562</c:v>
                </c:pt>
                <c:pt idx="7">
                  <c:v>0.5742529085238246</c:v>
                </c:pt>
                <c:pt idx="8">
                  <c:v>0.48694561509457129</c:v>
                </c:pt>
                <c:pt idx="9">
                  <c:v>0.62888874188727284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C7-4602-91F5-43034DA8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Gen'!$J$300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Gen'!$I$301:$I$310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Gen'!$J$301:$J$310</c:f>
              <c:numCache>
                <c:formatCode>0%</c:formatCode>
                <c:ptCount val="10"/>
                <c:pt idx="0">
                  <c:v>1.8668873127188401</c:v>
                </c:pt>
                <c:pt idx="1">
                  <c:v>2.001365531703907</c:v>
                </c:pt>
                <c:pt idx="2">
                  <c:v>2.0135431610012788</c:v>
                </c:pt>
                <c:pt idx="3">
                  <c:v>2.1512467297048858</c:v>
                </c:pt>
                <c:pt idx="4">
                  <c:v>1.9230445726725667</c:v>
                </c:pt>
                <c:pt idx="5">
                  <c:v>1.8757030197719495</c:v>
                </c:pt>
                <c:pt idx="6">
                  <c:v>2.1189387664594901</c:v>
                </c:pt>
                <c:pt idx="7">
                  <c:v>1.9392559011355466</c:v>
                </c:pt>
                <c:pt idx="8">
                  <c:v>1.7024969450542322</c:v>
                </c:pt>
                <c:pt idx="9">
                  <c:v>1.4914178938470435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9-41A8-A6FF-EFF484537920}"/>
            </c:ext>
          </c:extLst>
        </c:ser>
        <c:ser>
          <c:idx val="1"/>
          <c:order val="1"/>
          <c:tx>
            <c:strRef>
              <c:f>'0.1 Seconds Traffic Gen'!$K$300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Gen'!$I$301:$I$310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Gen'!$K$301:$K$310</c:f>
              <c:numCache>
                <c:formatCode>0%</c:formatCode>
                <c:ptCount val="10"/>
                <c:pt idx="0">
                  <c:v>2.0423588487788904</c:v>
                </c:pt>
                <c:pt idx="1">
                  <c:v>2.2174934365068397</c:v>
                </c:pt>
                <c:pt idx="2">
                  <c:v>2.1739308003784452</c:v>
                </c:pt>
                <c:pt idx="3">
                  <c:v>2.2504751436144339</c:v>
                </c:pt>
                <c:pt idx="4">
                  <c:v>2.0527363922543613</c:v>
                </c:pt>
                <c:pt idx="5">
                  <c:v>2.1711409741000831</c:v>
                </c:pt>
                <c:pt idx="6">
                  <c:v>2.3270071501088063</c:v>
                </c:pt>
                <c:pt idx="7">
                  <c:v>2.1329744338615115</c:v>
                </c:pt>
                <c:pt idx="8">
                  <c:v>1.7899819406745756</c:v>
                </c:pt>
                <c:pt idx="9">
                  <c:v>1.4205454464563776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B9-41A8-A6FF-EFF484537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Gen'!$J$327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Gen'!$I$328:$I$337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Gen'!$J$328:$J$337</c:f>
              <c:numCache>
                <c:formatCode>0%</c:formatCode>
                <c:ptCount val="10"/>
                <c:pt idx="0">
                  <c:v>1.570175918868596</c:v>
                </c:pt>
                <c:pt idx="1">
                  <c:v>1.5253223624701864</c:v>
                </c:pt>
                <c:pt idx="2">
                  <c:v>1.448393372154771</c:v>
                </c:pt>
                <c:pt idx="3">
                  <c:v>1.4335352033947144</c:v>
                </c:pt>
                <c:pt idx="4">
                  <c:v>1.3984894712928113</c:v>
                </c:pt>
                <c:pt idx="5">
                  <c:v>1.4055681947343566</c:v>
                </c:pt>
                <c:pt idx="6">
                  <c:v>1.350516714437173</c:v>
                </c:pt>
                <c:pt idx="7">
                  <c:v>1.3133984591298422</c:v>
                </c:pt>
                <c:pt idx="8">
                  <c:v>1.1553621138241346</c:v>
                </c:pt>
                <c:pt idx="9">
                  <c:v>0.99579348764152886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2-4F23-BC17-2991A2709AC5}"/>
            </c:ext>
          </c:extLst>
        </c:ser>
        <c:ser>
          <c:idx val="1"/>
          <c:order val="1"/>
          <c:tx>
            <c:strRef>
              <c:f>'0.1 Seconds Traffic Gen'!$K$327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Gen'!$I$328:$I$337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Gen'!$K$328:$K$337</c:f>
              <c:numCache>
                <c:formatCode>0%</c:formatCode>
                <c:ptCount val="10"/>
                <c:pt idx="0">
                  <c:v>1.5144880235913427</c:v>
                </c:pt>
                <c:pt idx="1">
                  <c:v>1.4793656697983861</c:v>
                </c:pt>
                <c:pt idx="2">
                  <c:v>1.4253650890178267</c:v>
                </c:pt>
                <c:pt idx="3">
                  <c:v>1.3935504335292193</c:v>
                </c:pt>
                <c:pt idx="4">
                  <c:v>1.3703104278717542</c:v>
                </c:pt>
                <c:pt idx="5">
                  <c:v>1.4058641245747003</c:v>
                </c:pt>
                <c:pt idx="6">
                  <c:v>1.3674556419579795</c:v>
                </c:pt>
                <c:pt idx="7">
                  <c:v>1.2895089905627597</c:v>
                </c:pt>
                <c:pt idx="8">
                  <c:v>1.1308211696280654</c:v>
                </c:pt>
                <c:pt idx="9">
                  <c:v>0.95058015819278108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12-4F23-BC17-2991A270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Gen'!$J$354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Gen'!$I$355:$I$364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Gen'!$J$355:$J$364</c:f>
              <c:numCache>
                <c:formatCode>0%</c:formatCode>
                <c:ptCount val="10"/>
                <c:pt idx="0">
                  <c:v>3.2863200459675461</c:v>
                </c:pt>
                <c:pt idx="1">
                  <c:v>3.1791797086478453</c:v>
                </c:pt>
                <c:pt idx="2">
                  <c:v>3.3486255545794159</c:v>
                </c:pt>
                <c:pt idx="3">
                  <c:v>3.0242691041686594</c:v>
                </c:pt>
                <c:pt idx="4">
                  <c:v>3.1928663930973151</c:v>
                </c:pt>
                <c:pt idx="5">
                  <c:v>2.9925081428355749</c:v>
                </c:pt>
                <c:pt idx="6">
                  <c:v>2.8428394981864247</c:v>
                </c:pt>
                <c:pt idx="7">
                  <c:v>3.262846139495216</c:v>
                </c:pt>
                <c:pt idx="8">
                  <c:v>2.8565982566300248</c:v>
                </c:pt>
                <c:pt idx="9">
                  <c:v>2.5047138861069862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D-45E3-B170-D3CE37DDD0F5}"/>
            </c:ext>
          </c:extLst>
        </c:ser>
        <c:ser>
          <c:idx val="1"/>
          <c:order val="1"/>
          <c:tx>
            <c:strRef>
              <c:f>'0.1 Seconds Traffic Gen'!$K$354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Gen'!$I$355:$I$364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Gen'!$K$355:$K$364</c:f>
              <c:numCache>
                <c:formatCode>0%</c:formatCode>
                <c:ptCount val="10"/>
                <c:pt idx="0">
                  <c:v>3.2175838154906948</c:v>
                </c:pt>
                <c:pt idx="1">
                  <c:v>3.4288390095769112</c:v>
                </c:pt>
                <c:pt idx="2">
                  <c:v>3.129025464683723</c:v>
                </c:pt>
                <c:pt idx="3">
                  <c:v>3.2380389749411553</c:v>
                </c:pt>
                <c:pt idx="4">
                  <c:v>3.1317969761745026</c:v>
                </c:pt>
                <c:pt idx="5">
                  <c:v>3.0894897256025096</c:v>
                </c:pt>
                <c:pt idx="6">
                  <c:v>2.8427943656547447</c:v>
                </c:pt>
                <c:pt idx="7">
                  <c:v>3.439896991018363</c:v>
                </c:pt>
                <c:pt idx="8">
                  <c:v>2.7324747230803639</c:v>
                </c:pt>
                <c:pt idx="9">
                  <c:v>2.2860862658424557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D-45E3-B170-D3CE37DDD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Gen'!$J$381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Gen'!$I$382:$I$391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Gen'!$J$382:$J$391</c:f>
              <c:numCache>
                <c:formatCode>0%</c:formatCode>
                <c:ptCount val="10"/>
                <c:pt idx="0">
                  <c:v>1.7791646125091012</c:v>
                </c:pt>
                <c:pt idx="1">
                  <c:v>1.7942970788920034</c:v>
                </c:pt>
                <c:pt idx="2">
                  <c:v>1.7007916763152995</c:v>
                </c:pt>
                <c:pt idx="3">
                  <c:v>1.767146427464158</c:v>
                </c:pt>
                <c:pt idx="4">
                  <c:v>1.7183245960801257</c:v>
                </c:pt>
                <c:pt idx="5">
                  <c:v>1.7422787179309716</c:v>
                </c:pt>
                <c:pt idx="6">
                  <c:v>1.726797152225477</c:v>
                </c:pt>
                <c:pt idx="7">
                  <c:v>1.7050110064951196</c:v>
                </c:pt>
                <c:pt idx="8">
                  <c:v>1.5773465808786837</c:v>
                </c:pt>
                <c:pt idx="9">
                  <c:v>1.3019757270569103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F-44FE-9423-A124B91ECABD}"/>
            </c:ext>
          </c:extLst>
        </c:ser>
        <c:ser>
          <c:idx val="1"/>
          <c:order val="1"/>
          <c:tx>
            <c:strRef>
              <c:f>'0.1 Seconds Traffic Gen'!$K$381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Gen'!$I$382:$I$391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Gen'!$K$382:$K$391</c:f>
              <c:numCache>
                <c:formatCode>0%</c:formatCode>
                <c:ptCount val="10"/>
                <c:pt idx="0">
                  <c:v>1.6791429386662531</c:v>
                </c:pt>
                <c:pt idx="1">
                  <c:v>1.7138754445556503</c:v>
                </c:pt>
                <c:pt idx="2">
                  <c:v>1.7327068033396837</c:v>
                </c:pt>
                <c:pt idx="3">
                  <c:v>1.6354388060440692</c:v>
                </c:pt>
                <c:pt idx="4">
                  <c:v>1.5965048691684542</c:v>
                </c:pt>
                <c:pt idx="5">
                  <c:v>1.6120685200123901</c:v>
                </c:pt>
                <c:pt idx="6">
                  <c:v>1.5926233420956877</c:v>
                </c:pt>
                <c:pt idx="7">
                  <c:v>1.5250214259861581</c:v>
                </c:pt>
                <c:pt idx="8">
                  <c:v>1.4168487674131633</c:v>
                </c:pt>
                <c:pt idx="9">
                  <c:v>1.1645859233068001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DF-44FE-9423-A124B91EC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Gen'!$J$408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Gen'!$I$409:$I$418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Gen'!$J$409:$J$418</c:f>
              <c:numCache>
                <c:formatCode>0%</c:formatCode>
                <c:ptCount val="10"/>
                <c:pt idx="0">
                  <c:v>3.12880346812518</c:v>
                </c:pt>
                <c:pt idx="1">
                  <c:v>3.3865740740740744</c:v>
                </c:pt>
                <c:pt idx="2">
                  <c:v>3.1689915710577052</c:v>
                </c:pt>
                <c:pt idx="3">
                  <c:v>3.4707342823663163</c:v>
                </c:pt>
                <c:pt idx="4">
                  <c:v>3.3727635539234222</c:v>
                </c:pt>
                <c:pt idx="5">
                  <c:v>3.4341802997435256</c:v>
                </c:pt>
                <c:pt idx="6">
                  <c:v>3.3917167480223749</c:v>
                </c:pt>
                <c:pt idx="7">
                  <c:v>3.4000962910170678</c:v>
                </c:pt>
                <c:pt idx="8">
                  <c:v>3.3664739199224898</c:v>
                </c:pt>
                <c:pt idx="9">
                  <c:v>2.6031691705702364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C9-4532-8509-854C3030FF1F}"/>
            </c:ext>
          </c:extLst>
        </c:ser>
        <c:ser>
          <c:idx val="1"/>
          <c:order val="1"/>
          <c:tx>
            <c:strRef>
              <c:f>'0.1 Seconds Traffic Gen'!$K$408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Gen'!$I$409:$I$418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Gen'!$K$409:$K$418</c:f>
              <c:numCache>
                <c:formatCode>0%</c:formatCode>
                <c:ptCount val="10"/>
                <c:pt idx="0">
                  <c:v>2.6571441811916658</c:v>
                </c:pt>
                <c:pt idx="1">
                  <c:v>2.7036119370113423</c:v>
                </c:pt>
                <c:pt idx="2">
                  <c:v>2.7698224939772911</c:v>
                </c:pt>
                <c:pt idx="3">
                  <c:v>2.8164468112259691</c:v>
                </c:pt>
                <c:pt idx="4">
                  <c:v>2.8106748823466035</c:v>
                </c:pt>
                <c:pt idx="5">
                  <c:v>2.7264622238247833</c:v>
                </c:pt>
                <c:pt idx="6">
                  <c:v>2.6490520576326761</c:v>
                </c:pt>
                <c:pt idx="7">
                  <c:v>2.6807952784197839</c:v>
                </c:pt>
                <c:pt idx="8">
                  <c:v>2.6134860877049224</c:v>
                </c:pt>
                <c:pt idx="9">
                  <c:v>2.4757076230709898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C9-4532-8509-854C3030F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Gen'!$J$435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Gen'!$I$436:$I$445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Gen'!$J$436:$J$445</c:f>
              <c:numCache>
                <c:formatCode>0%</c:formatCode>
                <c:ptCount val="10"/>
                <c:pt idx="0">
                  <c:v>0.16137088908765176</c:v>
                </c:pt>
                <c:pt idx="1">
                  <c:v>0.13354456140402127</c:v>
                </c:pt>
                <c:pt idx="2">
                  <c:v>0.1710501801506486</c:v>
                </c:pt>
                <c:pt idx="3">
                  <c:v>0.1791180844305684</c:v>
                </c:pt>
                <c:pt idx="4">
                  <c:v>0.17623523667856192</c:v>
                </c:pt>
                <c:pt idx="5">
                  <c:v>0.16369617017587268</c:v>
                </c:pt>
                <c:pt idx="6">
                  <c:v>0.19092022790763624</c:v>
                </c:pt>
                <c:pt idx="7">
                  <c:v>0.23423933051576443</c:v>
                </c:pt>
                <c:pt idx="8">
                  <c:v>0.29147854320869043</c:v>
                </c:pt>
                <c:pt idx="9">
                  <c:v>0.3417911447347734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9-4788-BEF8-916906DE684F}"/>
            </c:ext>
          </c:extLst>
        </c:ser>
        <c:ser>
          <c:idx val="1"/>
          <c:order val="1"/>
          <c:tx>
            <c:strRef>
              <c:f>'0.1 Seconds Traffic Gen'!$K$435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Gen'!$I$436:$I$445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Gen'!$K$436:$K$445</c:f>
              <c:numCache>
                <c:formatCode>0%</c:formatCode>
                <c:ptCount val="10"/>
                <c:pt idx="0">
                  <c:v>0.13924561475597066</c:v>
                </c:pt>
                <c:pt idx="1">
                  <c:v>0.13215617821863782</c:v>
                </c:pt>
                <c:pt idx="2">
                  <c:v>0.15895203319420381</c:v>
                </c:pt>
                <c:pt idx="3">
                  <c:v>0.13633394877897281</c:v>
                </c:pt>
                <c:pt idx="4">
                  <c:v>0.16904707216912096</c:v>
                </c:pt>
                <c:pt idx="5">
                  <c:v>0.16036121967927094</c:v>
                </c:pt>
                <c:pt idx="6">
                  <c:v>0.18346461838745268</c:v>
                </c:pt>
                <c:pt idx="7">
                  <c:v>0.2187039543465279</c:v>
                </c:pt>
                <c:pt idx="8">
                  <c:v>0.25688850259990831</c:v>
                </c:pt>
                <c:pt idx="9">
                  <c:v>0.34074795262858604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89-4788-BEF8-916906DE6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Gen'!$J$462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Gen'!$I$463:$I$472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Gen'!$J$463:$J$472</c:f>
              <c:numCache>
                <c:formatCode>0%</c:formatCode>
                <c:ptCount val="10"/>
                <c:pt idx="0">
                  <c:v>0.16405929145027542</c:v>
                </c:pt>
                <c:pt idx="1">
                  <c:v>0.15706538481658663</c:v>
                </c:pt>
                <c:pt idx="2">
                  <c:v>0.23250799790777157</c:v>
                </c:pt>
                <c:pt idx="3">
                  <c:v>0.20021273089541711</c:v>
                </c:pt>
                <c:pt idx="4">
                  <c:v>0.17781802841996888</c:v>
                </c:pt>
                <c:pt idx="5">
                  <c:v>0.14730102257198049</c:v>
                </c:pt>
                <c:pt idx="6">
                  <c:v>0.12798823536444653</c:v>
                </c:pt>
                <c:pt idx="7">
                  <c:v>0.19525681947849682</c:v>
                </c:pt>
                <c:pt idx="8">
                  <c:v>0.38520490921296491</c:v>
                </c:pt>
                <c:pt idx="9">
                  <c:v>0.25047400236443529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1-4ABA-9309-9A6E44195235}"/>
            </c:ext>
          </c:extLst>
        </c:ser>
        <c:ser>
          <c:idx val="1"/>
          <c:order val="1"/>
          <c:tx>
            <c:strRef>
              <c:f>'0.1 Seconds Traffic Gen'!$K$462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Gen'!$I$463:$I$472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Gen'!$K$463:$K$472</c:f>
              <c:numCache>
                <c:formatCode>0%</c:formatCode>
                <c:ptCount val="10"/>
                <c:pt idx="0">
                  <c:v>0.15063162463117613</c:v>
                </c:pt>
                <c:pt idx="1">
                  <c:v>0.1630086664380416</c:v>
                </c:pt>
                <c:pt idx="2">
                  <c:v>0.17808573270566475</c:v>
                </c:pt>
                <c:pt idx="3">
                  <c:v>0.23295531153091334</c:v>
                </c:pt>
                <c:pt idx="4">
                  <c:v>0.18339641343178362</c:v>
                </c:pt>
                <c:pt idx="5">
                  <c:v>0.17497997266858284</c:v>
                </c:pt>
                <c:pt idx="6">
                  <c:v>0.17574918849122131</c:v>
                </c:pt>
                <c:pt idx="7">
                  <c:v>0.24247891320102996</c:v>
                </c:pt>
                <c:pt idx="8">
                  <c:v>0.30150353480035852</c:v>
                </c:pt>
                <c:pt idx="9">
                  <c:v>0.25027324842185089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91-4ABA-9309-9A6E44195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Gen'!$J$489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Gen'!$I$490:$I$499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Gen'!$J$490:$J$499</c:f>
              <c:numCache>
                <c:formatCode>0%</c:formatCode>
                <c:ptCount val="10"/>
                <c:pt idx="0">
                  <c:v>2.7076207053867714E-2</c:v>
                </c:pt>
                <c:pt idx="1">
                  <c:v>4.5072685754314855E-2</c:v>
                </c:pt>
                <c:pt idx="2">
                  <c:v>6.9053762380143671E-2</c:v>
                </c:pt>
                <c:pt idx="3">
                  <c:v>6.2746897082941469E-2</c:v>
                </c:pt>
                <c:pt idx="4">
                  <c:v>8.7351824856749444E-2</c:v>
                </c:pt>
                <c:pt idx="5">
                  <c:v>8.892201873376232E-2</c:v>
                </c:pt>
                <c:pt idx="6">
                  <c:v>0.1059543331582767</c:v>
                </c:pt>
                <c:pt idx="7">
                  <c:v>0.15939171310863504</c:v>
                </c:pt>
                <c:pt idx="8">
                  <c:v>0.29275041152825931</c:v>
                </c:pt>
                <c:pt idx="9">
                  <c:v>0.27888731138096179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9-408D-B9B6-DCEBDD6BF10D}"/>
            </c:ext>
          </c:extLst>
        </c:ser>
        <c:ser>
          <c:idx val="1"/>
          <c:order val="1"/>
          <c:tx>
            <c:strRef>
              <c:f>'0.1 Seconds Traffic Gen'!$K$489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Gen'!$I$490:$I$499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Gen'!$K$490:$K$499</c:f>
              <c:numCache>
                <c:formatCode>0%</c:formatCode>
                <c:ptCount val="10"/>
                <c:pt idx="0">
                  <c:v>4.2897669598774453E-2</c:v>
                </c:pt>
                <c:pt idx="1">
                  <c:v>5.4437909870218307E-2</c:v>
                </c:pt>
                <c:pt idx="2">
                  <c:v>8.6203919765439438E-2</c:v>
                </c:pt>
                <c:pt idx="3">
                  <c:v>8.9837627435895726E-2</c:v>
                </c:pt>
                <c:pt idx="4">
                  <c:v>0.10127564545530519</c:v>
                </c:pt>
                <c:pt idx="5">
                  <c:v>8.7917516688535868E-2</c:v>
                </c:pt>
                <c:pt idx="6">
                  <c:v>0.10820149755359861</c:v>
                </c:pt>
                <c:pt idx="7">
                  <c:v>0.16892273350092557</c:v>
                </c:pt>
                <c:pt idx="8">
                  <c:v>0.29080190836014813</c:v>
                </c:pt>
                <c:pt idx="9">
                  <c:v>0.28830453380475746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9-408D-B9B6-DCEBDD6BF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Gen'!$J$516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Gen'!$I$517:$I$526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Gen'!$J$517:$J$526</c:f>
              <c:numCache>
                <c:formatCode>0%</c:formatCode>
                <c:ptCount val="10"/>
                <c:pt idx="0">
                  <c:v>0.16663021266224634</c:v>
                </c:pt>
                <c:pt idx="1">
                  <c:v>0.11865062337960586</c:v>
                </c:pt>
                <c:pt idx="2">
                  <c:v>0.14312450009998001</c:v>
                </c:pt>
                <c:pt idx="3">
                  <c:v>0.13056995478165684</c:v>
                </c:pt>
                <c:pt idx="4">
                  <c:v>9.9741046949313933E-2</c:v>
                </c:pt>
                <c:pt idx="5">
                  <c:v>0.19669975003910628</c:v>
                </c:pt>
                <c:pt idx="6">
                  <c:v>0.14974795113653941</c:v>
                </c:pt>
                <c:pt idx="7">
                  <c:v>0.1691982556816588</c:v>
                </c:pt>
                <c:pt idx="8">
                  <c:v>0.5907498061407509</c:v>
                </c:pt>
                <c:pt idx="9">
                  <c:v>2.2702440208813814E-2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84-4078-8201-4C514F3FEDDF}"/>
            </c:ext>
          </c:extLst>
        </c:ser>
        <c:ser>
          <c:idx val="1"/>
          <c:order val="1"/>
          <c:tx>
            <c:strRef>
              <c:f>'0.1 Seconds Traffic Gen'!$K$516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Gen'!$I$517:$I$526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Gen'!$K$517:$K$526</c:f>
              <c:numCache>
                <c:formatCode>0%</c:formatCode>
                <c:ptCount val="10"/>
                <c:pt idx="0">
                  <c:v>0.14795118079728031</c:v>
                </c:pt>
                <c:pt idx="1">
                  <c:v>0.144501386966743</c:v>
                </c:pt>
                <c:pt idx="2">
                  <c:v>0.20668366326734658</c:v>
                </c:pt>
                <c:pt idx="3">
                  <c:v>0.18127114140517356</c:v>
                </c:pt>
                <c:pt idx="4">
                  <c:v>0.14715592868597296</c:v>
                </c:pt>
                <c:pt idx="5">
                  <c:v>0.17799897206375762</c:v>
                </c:pt>
                <c:pt idx="6">
                  <c:v>0.14153394154940455</c:v>
                </c:pt>
                <c:pt idx="7">
                  <c:v>0.15541452497249181</c:v>
                </c:pt>
                <c:pt idx="8">
                  <c:v>0.57422589486021425</c:v>
                </c:pt>
                <c:pt idx="9">
                  <c:v>5.6270486827728519E-2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84-4078-8201-4C514F3FE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Gen'!$J$547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Gen'!$I$548:$I$557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Gen'!$J$548:$J$557</c:f>
              <c:numCache>
                <c:formatCode>0.000%</c:formatCode>
                <c:ptCount val="10"/>
                <c:pt idx="0">
                  <c:v>1.9373641569848693E-3</c:v>
                </c:pt>
                <c:pt idx="1">
                  <c:v>4.0282776638847608E-3</c:v>
                </c:pt>
                <c:pt idx="2">
                  <c:v>1.7487365460685095E-3</c:v>
                </c:pt>
                <c:pt idx="3">
                  <c:v>4.8784232337355836E-3</c:v>
                </c:pt>
                <c:pt idx="4">
                  <c:v>9.1067827928253021E-4</c:v>
                </c:pt>
                <c:pt idx="5">
                  <c:v>1.9065364589473967E-3</c:v>
                </c:pt>
                <c:pt idx="6">
                  <c:v>3.886734241208078E-3</c:v>
                </c:pt>
                <c:pt idx="7">
                  <c:v>3.0620191382633301E-3</c:v>
                </c:pt>
                <c:pt idx="8">
                  <c:v>4.0647699797329668E-3</c:v>
                </c:pt>
                <c:pt idx="9">
                  <c:v>7.9460047129242733E-2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E-4F66-ABAC-FA42146EF45C}"/>
            </c:ext>
          </c:extLst>
        </c:ser>
        <c:ser>
          <c:idx val="1"/>
          <c:order val="1"/>
          <c:tx>
            <c:strRef>
              <c:f>'0.1 Seconds Traffic Gen'!$K$547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Gen'!$I$548:$I$557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Gen'!$K$548:$K$557</c:f>
              <c:numCache>
                <c:formatCode>0.000%</c:formatCode>
                <c:ptCount val="10"/>
                <c:pt idx="0">
                  <c:v>7.0334386217823293E-4</c:v>
                </c:pt>
                <c:pt idx="1">
                  <c:v>3.1532095026459185E-3</c:v>
                </c:pt>
                <c:pt idx="2">
                  <c:v>2.5867159022457103E-3</c:v>
                </c:pt>
                <c:pt idx="3">
                  <c:v>3.7065244800626169E-3</c:v>
                </c:pt>
                <c:pt idx="4">
                  <c:v>2.8286993321462829E-4</c:v>
                </c:pt>
                <c:pt idx="5">
                  <c:v>1.3363869258339876E-3</c:v>
                </c:pt>
                <c:pt idx="6">
                  <c:v>2.4648520366098892E-3</c:v>
                </c:pt>
                <c:pt idx="7">
                  <c:v>1.8700530402071135E-3</c:v>
                </c:pt>
                <c:pt idx="8">
                  <c:v>-1.4292845934006954E-3</c:v>
                </c:pt>
                <c:pt idx="9">
                  <c:v>9.3834936660859625E-2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FE-4F66-ABAC-FA42146EF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Gen'!$J$574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Gen'!$I$575:$I$584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Gen'!$J$575:$J$584</c:f>
              <c:numCache>
                <c:formatCode>0%</c:formatCode>
                <c:ptCount val="10"/>
                <c:pt idx="0">
                  <c:v>7.7971900222539497E-2</c:v>
                </c:pt>
                <c:pt idx="1">
                  <c:v>0.16046882150544917</c:v>
                </c:pt>
                <c:pt idx="2">
                  <c:v>7.8032285334728779E-2</c:v>
                </c:pt>
                <c:pt idx="3">
                  <c:v>0.21924398045388171</c:v>
                </c:pt>
                <c:pt idx="4">
                  <c:v>3.0950863910648066E-2</c:v>
                </c:pt>
                <c:pt idx="5">
                  <c:v>8.3848835018526538E-2</c:v>
                </c:pt>
                <c:pt idx="6">
                  <c:v>5.5701619334107166E-2</c:v>
                </c:pt>
                <c:pt idx="7">
                  <c:v>9.1188778560284511E-2</c:v>
                </c:pt>
                <c:pt idx="8">
                  <c:v>3.326459188403072E-2</c:v>
                </c:pt>
                <c:pt idx="9">
                  <c:v>0.39033815793345394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1-4C31-9A25-119CE6D16420}"/>
            </c:ext>
          </c:extLst>
        </c:ser>
        <c:ser>
          <c:idx val="1"/>
          <c:order val="1"/>
          <c:tx>
            <c:strRef>
              <c:f>'0.1 Seconds Traffic Gen'!$K$574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Gen'!$I$575:$I$584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Gen'!$K$575:$K$584</c:f>
              <c:numCache>
                <c:formatCode>0%</c:formatCode>
                <c:ptCount val="10"/>
                <c:pt idx="0">
                  <c:v>-1.3867206961836619E-3</c:v>
                </c:pt>
                <c:pt idx="1">
                  <c:v>8.7577755555178882E-2</c:v>
                </c:pt>
                <c:pt idx="2">
                  <c:v>9.8506501348576914E-2</c:v>
                </c:pt>
                <c:pt idx="3">
                  <c:v>0.16125547519179001</c:v>
                </c:pt>
                <c:pt idx="4">
                  <c:v>1.9804355159102068E-2</c:v>
                </c:pt>
                <c:pt idx="5">
                  <c:v>2.6777303271996372E-2</c:v>
                </c:pt>
                <c:pt idx="6">
                  <c:v>2.4270273257695974E-2</c:v>
                </c:pt>
                <c:pt idx="7">
                  <c:v>0.11125934998469002</c:v>
                </c:pt>
                <c:pt idx="8">
                  <c:v>-1.0841892427468844E-2</c:v>
                </c:pt>
                <c:pt idx="9">
                  <c:v>0.4139696530799738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B1-4C31-9A25-119CE6D16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Gen'!$J$601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Gen'!$I$602:$I$611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Gen'!$J$602:$J$611</c:f>
              <c:numCache>
                <c:formatCode>0%</c:formatCode>
                <c:ptCount val="10"/>
                <c:pt idx="0">
                  <c:v>1.4943294881121954E-2</c:v>
                </c:pt>
                <c:pt idx="1">
                  <c:v>9.2409376933033516E-3</c:v>
                </c:pt>
                <c:pt idx="2">
                  <c:v>1.286602203458727E-2</c:v>
                </c:pt>
                <c:pt idx="3">
                  <c:v>1.0454189475823441E-2</c:v>
                </c:pt>
                <c:pt idx="4">
                  <c:v>1.2140108430373187E-2</c:v>
                </c:pt>
                <c:pt idx="5">
                  <c:v>1.5630077633851311E-2</c:v>
                </c:pt>
                <c:pt idx="6">
                  <c:v>1.1269591193337116E-2</c:v>
                </c:pt>
                <c:pt idx="7">
                  <c:v>9.0936356609800702E-3</c:v>
                </c:pt>
                <c:pt idx="8">
                  <c:v>1.1338716299486582E-2</c:v>
                </c:pt>
                <c:pt idx="9">
                  <c:v>0.17948615467394263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8-42C2-B2E1-A17DB7E6E719}"/>
            </c:ext>
          </c:extLst>
        </c:ser>
        <c:ser>
          <c:idx val="1"/>
          <c:order val="1"/>
          <c:tx>
            <c:strRef>
              <c:f>'0.1 Seconds Traffic Gen'!$K$601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Gen'!$I$602:$I$611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Gen'!$K$602:$K$611</c:f>
              <c:numCache>
                <c:formatCode>0%</c:formatCode>
                <c:ptCount val="10"/>
                <c:pt idx="0">
                  <c:v>1.5122248879330969E-2</c:v>
                </c:pt>
                <c:pt idx="1">
                  <c:v>1.3220273358031028E-2</c:v>
                </c:pt>
                <c:pt idx="2">
                  <c:v>1.3998923449325417E-2</c:v>
                </c:pt>
                <c:pt idx="3">
                  <c:v>1.3534173671902076E-2</c:v>
                </c:pt>
                <c:pt idx="4">
                  <c:v>1.1897374773146441E-2</c:v>
                </c:pt>
                <c:pt idx="5">
                  <c:v>1.4198977934529655E-2</c:v>
                </c:pt>
                <c:pt idx="6">
                  <c:v>1.1575807521799949E-2</c:v>
                </c:pt>
                <c:pt idx="7">
                  <c:v>1.2498667555297561E-2</c:v>
                </c:pt>
                <c:pt idx="8">
                  <c:v>1.2633530810086956E-2</c:v>
                </c:pt>
                <c:pt idx="9">
                  <c:v>0.19448003979015799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E8-42C2-B2E1-A17DB7E6E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Gen'!$J$628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Gen'!$I$629:$I$638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Gen'!$J$629:$J$638</c:f>
              <c:numCache>
                <c:formatCode>0%</c:formatCode>
                <c:ptCount val="10"/>
                <c:pt idx="0">
                  <c:v>0.16047605283052438</c:v>
                </c:pt>
                <c:pt idx="1">
                  <c:v>0.13480354518131746</c:v>
                </c:pt>
                <c:pt idx="2">
                  <c:v>0.19677971093289839</c:v>
                </c:pt>
                <c:pt idx="3">
                  <c:v>0.14286487422609001</c:v>
                </c:pt>
                <c:pt idx="4">
                  <c:v>0.13102447162310019</c:v>
                </c:pt>
                <c:pt idx="5">
                  <c:v>0.17334884849554386</c:v>
                </c:pt>
                <c:pt idx="6">
                  <c:v>0.18469268611207953</c:v>
                </c:pt>
                <c:pt idx="7">
                  <c:v>0.11937916874993337</c:v>
                </c:pt>
                <c:pt idx="8">
                  <c:v>9.1945443097109586E-2</c:v>
                </c:pt>
                <c:pt idx="9">
                  <c:v>0.62444053594154414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5-4092-88FB-66694560C72D}"/>
            </c:ext>
          </c:extLst>
        </c:ser>
        <c:ser>
          <c:idx val="1"/>
          <c:order val="1"/>
          <c:tx>
            <c:strRef>
              <c:f>'0.1 Seconds Traffic Gen'!$K$628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Gen'!$I$629:$I$638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Gen'!$K$629:$K$638</c:f>
              <c:numCache>
                <c:formatCode>0%</c:formatCode>
                <c:ptCount val="10"/>
                <c:pt idx="0">
                  <c:v>0.1576744341174901</c:v>
                </c:pt>
                <c:pt idx="1">
                  <c:v>0.16169405260733161</c:v>
                </c:pt>
                <c:pt idx="2">
                  <c:v>0.19610574962620647</c:v>
                </c:pt>
                <c:pt idx="3">
                  <c:v>0.14542473048447849</c:v>
                </c:pt>
                <c:pt idx="4">
                  <c:v>0.14883383345430123</c:v>
                </c:pt>
                <c:pt idx="5">
                  <c:v>0.18103105973705108</c:v>
                </c:pt>
                <c:pt idx="6">
                  <c:v>0.16223140815999035</c:v>
                </c:pt>
                <c:pt idx="7">
                  <c:v>0.13706477452847249</c:v>
                </c:pt>
                <c:pt idx="8">
                  <c:v>9.5921434809985204E-2</c:v>
                </c:pt>
                <c:pt idx="9">
                  <c:v>0.66252937335258988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95-4092-88FB-66694560C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Gen'!$J$655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Gen'!$I$656:$I$665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Gen'!$J$656:$J$665</c:f>
              <c:numCache>
                <c:formatCode>0%</c:formatCode>
                <c:ptCount val="10"/>
                <c:pt idx="0">
                  <c:v>3.3753282551399463E-2</c:v>
                </c:pt>
                <c:pt idx="1">
                  <c:v>3.5419871137590216E-2</c:v>
                </c:pt>
                <c:pt idx="2">
                  <c:v>3.1586170800409499E-2</c:v>
                </c:pt>
                <c:pt idx="3">
                  <c:v>2.4398732630140585E-2</c:v>
                </c:pt>
                <c:pt idx="4">
                  <c:v>2.7628501767480839E-2</c:v>
                </c:pt>
                <c:pt idx="5">
                  <c:v>3.5903279081727732E-2</c:v>
                </c:pt>
                <c:pt idx="6">
                  <c:v>3.2961861397818322E-2</c:v>
                </c:pt>
                <c:pt idx="7">
                  <c:v>2.6252518778567838E-2</c:v>
                </c:pt>
                <c:pt idx="8">
                  <c:v>2.1004686890061873E-2</c:v>
                </c:pt>
                <c:pt idx="9">
                  <c:v>0.2582531533822679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9-4BB5-B0B7-288E10F2335A}"/>
            </c:ext>
          </c:extLst>
        </c:ser>
        <c:ser>
          <c:idx val="1"/>
          <c:order val="1"/>
          <c:tx>
            <c:strRef>
              <c:f>'0.1 Seconds Traffic Gen'!$K$655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Gen'!$I$656:$I$665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Gen'!$K$656:$K$665</c:f>
              <c:numCache>
                <c:formatCode>0%</c:formatCode>
                <c:ptCount val="10"/>
                <c:pt idx="0">
                  <c:v>2.6333494434968321E-2</c:v>
                </c:pt>
                <c:pt idx="1">
                  <c:v>3.1498511873436164E-2</c:v>
                </c:pt>
                <c:pt idx="2">
                  <c:v>3.3037683129790926E-2</c:v>
                </c:pt>
                <c:pt idx="3">
                  <c:v>2.3634941077264767E-2</c:v>
                </c:pt>
                <c:pt idx="4">
                  <c:v>2.4847120602401816E-2</c:v>
                </c:pt>
                <c:pt idx="5">
                  <c:v>2.4379740929893062E-2</c:v>
                </c:pt>
                <c:pt idx="6">
                  <c:v>2.6274096224309634E-2</c:v>
                </c:pt>
                <c:pt idx="7">
                  <c:v>2.5353933345726228E-2</c:v>
                </c:pt>
                <c:pt idx="8">
                  <c:v>1.6928208776118239E-2</c:v>
                </c:pt>
                <c:pt idx="9">
                  <c:v>0.23576031538301748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29-4BB5-B0B7-288E10F23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Gen'!$J$682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Gen'!$I$683:$I$692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Gen'!$J$683:$J$692</c:f>
              <c:numCache>
                <c:formatCode>0%</c:formatCode>
                <c:ptCount val="10"/>
                <c:pt idx="0">
                  <c:v>0.2488792845812548</c:v>
                </c:pt>
                <c:pt idx="1">
                  <c:v>0.35307138904261209</c:v>
                </c:pt>
                <c:pt idx="2">
                  <c:v>0.30118012364093483</c:v>
                </c:pt>
                <c:pt idx="3">
                  <c:v>0.25996827754398505</c:v>
                </c:pt>
                <c:pt idx="4">
                  <c:v>0.30204654404354914</c:v>
                </c:pt>
                <c:pt idx="5">
                  <c:v>0.37119741545860457</c:v>
                </c:pt>
                <c:pt idx="6">
                  <c:v>0.18944616849455162</c:v>
                </c:pt>
                <c:pt idx="7">
                  <c:v>0.1805841496798716</c:v>
                </c:pt>
                <c:pt idx="8">
                  <c:v>0.21029482569412217</c:v>
                </c:pt>
                <c:pt idx="9">
                  <c:v>0.56193436972437827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0-41C8-82A9-748B58A0185A}"/>
            </c:ext>
          </c:extLst>
        </c:ser>
        <c:ser>
          <c:idx val="1"/>
          <c:order val="1"/>
          <c:tx>
            <c:strRef>
              <c:f>'0.1 Seconds Traffic Gen'!$K$682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Gen'!$I$683:$I$692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Gen'!$K$683:$K$692</c:f>
              <c:numCache>
                <c:formatCode>0%</c:formatCode>
                <c:ptCount val="10"/>
                <c:pt idx="0">
                  <c:v>0.20042759603669044</c:v>
                </c:pt>
                <c:pt idx="1">
                  <c:v>0.36299114554510226</c:v>
                </c:pt>
                <c:pt idx="2">
                  <c:v>0.30601600390247574</c:v>
                </c:pt>
                <c:pt idx="3">
                  <c:v>0.24154449853764975</c:v>
                </c:pt>
                <c:pt idx="4">
                  <c:v>0.28265005321202863</c:v>
                </c:pt>
                <c:pt idx="5">
                  <c:v>0.24261739884631803</c:v>
                </c:pt>
                <c:pt idx="6">
                  <c:v>0.21517614698310825</c:v>
                </c:pt>
                <c:pt idx="7">
                  <c:v>0.24070948621071939</c:v>
                </c:pt>
                <c:pt idx="8">
                  <c:v>0.18046091184724769</c:v>
                </c:pt>
                <c:pt idx="9">
                  <c:v>0.5897236388345618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A0-41C8-82A9-748B58A01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Gen'!$J$709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Gen'!$I$710:$I$719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Gen'!$J$710:$J$719</c:f>
              <c:numCache>
                <c:formatCode>0%</c:formatCode>
                <c:ptCount val="10"/>
                <c:pt idx="0">
                  <c:v>6.6222699448631794E-2</c:v>
                </c:pt>
                <c:pt idx="1">
                  <c:v>7.0673270344705164E-2</c:v>
                </c:pt>
                <c:pt idx="2">
                  <c:v>6.5530434069969418E-2</c:v>
                </c:pt>
                <c:pt idx="3">
                  <c:v>6.0925251781472997E-2</c:v>
                </c:pt>
                <c:pt idx="4">
                  <c:v>6.503616745831986E-2</c:v>
                </c:pt>
                <c:pt idx="5">
                  <c:v>6.1003440776489282E-2</c:v>
                </c:pt>
                <c:pt idx="6">
                  <c:v>6.4608434398119197E-2</c:v>
                </c:pt>
                <c:pt idx="7">
                  <c:v>5.0196686234831513E-2</c:v>
                </c:pt>
                <c:pt idx="8">
                  <c:v>4.370336531432583E-2</c:v>
                </c:pt>
                <c:pt idx="9">
                  <c:v>0.33778844078423087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4-4C6F-9C68-961AC30BBAD0}"/>
            </c:ext>
          </c:extLst>
        </c:ser>
        <c:ser>
          <c:idx val="1"/>
          <c:order val="1"/>
          <c:tx>
            <c:strRef>
              <c:f>'0.1 Seconds Traffic Gen'!$K$709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Gen'!$I$710:$I$719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Gen'!$K$710:$K$719</c:f>
              <c:numCache>
                <c:formatCode>0%</c:formatCode>
                <c:ptCount val="10"/>
                <c:pt idx="0">
                  <c:v>7.2917443231449164E-2</c:v>
                </c:pt>
                <c:pt idx="1">
                  <c:v>7.7489649851086168E-2</c:v>
                </c:pt>
                <c:pt idx="2">
                  <c:v>6.1755558280021529E-2</c:v>
                </c:pt>
                <c:pt idx="3">
                  <c:v>6.1534994854231521E-2</c:v>
                </c:pt>
                <c:pt idx="4">
                  <c:v>6.209652545652309E-2</c:v>
                </c:pt>
                <c:pt idx="5">
                  <c:v>6.6352675012931753E-2</c:v>
                </c:pt>
                <c:pt idx="6">
                  <c:v>6.5932032599561513E-2</c:v>
                </c:pt>
                <c:pt idx="7">
                  <c:v>5.0699029012393163E-2</c:v>
                </c:pt>
                <c:pt idx="8">
                  <c:v>4.0134464526319559E-2</c:v>
                </c:pt>
                <c:pt idx="9">
                  <c:v>0.35342606803457083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A4-4C6F-9C68-961AC30BB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Gen'!$J$736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Gen'!$I$737:$I$746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Gen'!$J$737:$J$746</c:f>
              <c:numCache>
                <c:formatCode>0%</c:formatCode>
                <c:ptCount val="10"/>
                <c:pt idx="0">
                  <c:v>0.42052902716081225</c:v>
                </c:pt>
                <c:pt idx="1">
                  <c:v>0.41621373126556122</c:v>
                </c:pt>
                <c:pt idx="2">
                  <c:v>0.38333359179938897</c:v>
                </c:pt>
                <c:pt idx="3">
                  <c:v>0.34450711497391046</c:v>
                </c:pt>
                <c:pt idx="4">
                  <c:v>0.38121064431231116</c:v>
                </c:pt>
                <c:pt idx="5">
                  <c:v>0.42768819280438691</c:v>
                </c:pt>
                <c:pt idx="6">
                  <c:v>0.42852846628708913</c:v>
                </c:pt>
                <c:pt idx="7">
                  <c:v>0.35603232033661231</c:v>
                </c:pt>
                <c:pt idx="8">
                  <c:v>0.27824621212121198</c:v>
                </c:pt>
                <c:pt idx="9">
                  <c:v>0.8954544435943157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B-4DA5-8BE2-889147E5ED7A}"/>
            </c:ext>
          </c:extLst>
        </c:ser>
        <c:ser>
          <c:idx val="1"/>
          <c:order val="1"/>
          <c:tx>
            <c:strRef>
              <c:f>'0.1 Seconds Traffic Gen'!$K$736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Gen'!$I$737:$I$746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Gen'!$K$737:$K$746</c:f>
              <c:numCache>
                <c:formatCode>0%</c:formatCode>
                <c:ptCount val="10"/>
                <c:pt idx="0">
                  <c:v>0.45843242851038785</c:v>
                </c:pt>
                <c:pt idx="1">
                  <c:v>0.43998877154155352</c:v>
                </c:pt>
                <c:pt idx="2">
                  <c:v>0.37712265248204946</c:v>
                </c:pt>
                <c:pt idx="3">
                  <c:v>0.3518998036439307</c:v>
                </c:pt>
                <c:pt idx="4">
                  <c:v>0.391001072229262</c:v>
                </c:pt>
                <c:pt idx="5">
                  <c:v>0.48228331253480555</c:v>
                </c:pt>
                <c:pt idx="6">
                  <c:v>0.43452693009513821</c:v>
                </c:pt>
                <c:pt idx="7">
                  <c:v>0.32033275921195098</c:v>
                </c:pt>
                <c:pt idx="8">
                  <c:v>0.3192651515151515</c:v>
                </c:pt>
                <c:pt idx="9">
                  <c:v>0.87360542431915889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B-4DA5-8BE2-889147E5E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Gen'!$J$763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Gen'!$I$764:$I$773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Gen'!$J$764:$J$773</c:f>
              <c:numCache>
                <c:formatCode>0%</c:formatCode>
                <c:ptCount val="10"/>
                <c:pt idx="0">
                  <c:v>0.12245053428511285</c:v>
                </c:pt>
                <c:pt idx="1">
                  <c:v>0.12435338766841834</c:v>
                </c:pt>
                <c:pt idx="2">
                  <c:v>0.11188284082467999</c:v>
                </c:pt>
                <c:pt idx="3">
                  <c:v>0.11162558274950958</c:v>
                </c:pt>
                <c:pt idx="4">
                  <c:v>9.8777043710674875E-2</c:v>
                </c:pt>
                <c:pt idx="5">
                  <c:v>0.10728359150960243</c:v>
                </c:pt>
                <c:pt idx="6">
                  <c:v>0.10624932133674109</c:v>
                </c:pt>
                <c:pt idx="7">
                  <c:v>0.10752062038510476</c:v>
                </c:pt>
                <c:pt idx="8">
                  <c:v>7.4609699758211884E-2</c:v>
                </c:pt>
                <c:pt idx="9">
                  <c:v>0.47624794332979414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B-41E3-8E48-2983927E931A}"/>
            </c:ext>
          </c:extLst>
        </c:ser>
        <c:ser>
          <c:idx val="1"/>
          <c:order val="1"/>
          <c:tx>
            <c:strRef>
              <c:f>'0.1 Seconds Traffic Gen'!$K$763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Gen'!$I$764:$I$773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Gen'!$K$764:$K$773</c:f>
              <c:numCache>
                <c:formatCode>0%</c:formatCode>
                <c:ptCount val="10"/>
                <c:pt idx="0">
                  <c:v>0.13257133088785808</c:v>
                </c:pt>
                <c:pt idx="1">
                  <c:v>0.13042127352442134</c:v>
                </c:pt>
                <c:pt idx="2">
                  <c:v>0.11998801403867408</c:v>
                </c:pt>
                <c:pt idx="3">
                  <c:v>0.12766095026658222</c:v>
                </c:pt>
                <c:pt idx="4">
                  <c:v>0.11269592049303893</c:v>
                </c:pt>
                <c:pt idx="5">
                  <c:v>0.11481331263218335</c:v>
                </c:pt>
                <c:pt idx="6">
                  <c:v>0.10849985432340646</c:v>
                </c:pt>
                <c:pt idx="7">
                  <c:v>0.1056151130895165</c:v>
                </c:pt>
                <c:pt idx="8">
                  <c:v>8.6520332200334671E-2</c:v>
                </c:pt>
                <c:pt idx="9">
                  <c:v>0.48226099239089459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6B-41E3-8E48-2983927E9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Gen'!$J$790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Gen'!$I$791:$I$800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Gen'!$J$791:$J$800</c:f>
              <c:numCache>
                <c:formatCode>0%</c:formatCode>
                <c:ptCount val="10"/>
                <c:pt idx="0">
                  <c:v>0.56202637368606911</c:v>
                </c:pt>
                <c:pt idx="1">
                  <c:v>0.55866654022529139</c:v>
                </c:pt>
                <c:pt idx="2">
                  <c:v>0.5720850086157383</c:v>
                </c:pt>
                <c:pt idx="3">
                  <c:v>0.55453229391095138</c:v>
                </c:pt>
                <c:pt idx="4">
                  <c:v>0.50352329203504154</c:v>
                </c:pt>
                <c:pt idx="5">
                  <c:v>0.56044593529365594</c:v>
                </c:pt>
                <c:pt idx="6">
                  <c:v>0.52150252717625301</c:v>
                </c:pt>
                <c:pt idx="7">
                  <c:v>0.50428575715042989</c:v>
                </c:pt>
                <c:pt idx="8">
                  <c:v>0.42701979509587784</c:v>
                </c:pt>
                <c:pt idx="9">
                  <c:v>0.95151402088886272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F-4D87-9CA2-C9914E4B99D9}"/>
            </c:ext>
          </c:extLst>
        </c:ser>
        <c:ser>
          <c:idx val="1"/>
          <c:order val="1"/>
          <c:tx>
            <c:strRef>
              <c:f>'0.1 Seconds Traffic Gen'!$K$790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Gen'!$I$791:$I$800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Gen'!$K$791:$K$800</c:f>
              <c:numCache>
                <c:formatCode>0%</c:formatCode>
                <c:ptCount val="10"/>
                <c:pt idx="0">
                  <c:v>0.64748282043621153</c:v>
                </c:pt>
                <c:pt idx="1">
                  <c:v>0.66150402015836773</c:v>
                </c:pt>
                <c:pt idx="2">
                  <c:v>0.63773795241121711</c:v>
                </c:pt>
                <c:pt idx="3">
                  <c:v>0.62596086533952278</c:v>
                </c:pt>
                <c:pt idx="4">
                  <c:v>0.63110107496530476</c:v>
                </c:pt>
                <c:pt idx="5">
                  <c:v>0.66573280054052753</c:v>
                </c:pt>
                <c:pt idx="6">
                  <c:v>0.5938698587033564</c:v>
                </c:pt>
                <c:pt idx="7">
                  <c:v>0.55785522108905905</c:v>
                </c:pt>
                <c:pt idx="8">
                  <c:v>0.5018931717299534</c:v>
                </c:pt>
                <c:pt idx="9">
                  <c:v>1.0951600908744747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F-4D87-9CA2-C9914E4B9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Gen'!$J$817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Gen'!$I$818:$I$827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Gen'!$J$818:$J$827</c:f>
              <c:numCache>
                <c:formatCode>0%</c:formatCode>
                <c:ptCount val="10"/>
                <c:pt idx="0">
                  <c:v>0.24086760706885416</c:v>
                </c:pt>
                <c:pt idx="1">
                  <c:v>0.237053662034203</c:v>
                </c:pt>
                <c:pt idx="2">
                  <c:v>0.21504220046550063</c:v>
                </c:pt>
                <c:pt idx="3">
                  <c:v>0.20887369545228088</c:v>
                </c:pt>
                <c:pt idx="4">
                  <c:v>0.20460723927821883</c:v>
                </c:pt>
                <c:pt idx="5">
                  <c:v>0.20608493150960713</c:v>
                </c:pt>
                <c:pt idx="6">
                  <c:v>0.21541888104077525</c:v>
                </c:pt>
                <c:pt idx="7">
                  <c:v>0.18446444002937432</c:v>
                </c:pt>
                <c:pt idx="8">
                  <c:v>0.15469375941246463</c:v>
                </c:pt>
                <c:pt idx="9">
                  <c:v>0.66238184409393019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3-4C73-B3E4-A8F7D9A4F2ED}"/>
            </c:ext>
          </c:extLst>
        </c:ser>
        <c:ser>
          <c:idx val="1"/>
          <c:order val="1"/>
          <c:tx>
            <c:strRef>
              <c:f>'0.1 Seconds Traffic Gen'!$K$817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Gen'!$I$818:$I$827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Gen'!$K$818:$K$827</c:f>
              <c:numCache>
                <c:formatCode>0%</c:formatCode>
                <c:ptCount val="10"/>
                <c:pt idx="0">
                  <c:v>0.22827522321060428</c:v>
                </c:pt>
                <c:pt idx="1">
                  <c:v>0.23757459430834654</c:v>
                </c:pt>
                <c:pt idx="2">
                  <c:v>0.21523498961137549</c:v>
                </c:pt>
                <c:pt idx="3">
                  <c:v>0.20422778096540167</c:v>
                </c:pt>
                <c:pt idx="4">
                  <c:v>0.20383718590206865</c:v>
                </c:pt>
                <c:pt idx="5">
                  <c:v>0.2132321087536195</c:v>
                </c:pt>
                <c:pt idx="6">
                  <c:v>0.20613170735733216</c:v>
                </c:pt>
                <c:pt idx="7">
                  <c:v>0.17692324327754827</c:v>
                </c:pt>
                <c:pt idx="8">
                  <c:v>0.13562822376932235</c:v>
                </c:pt>
                <c:pt idx="9">
                  <c:v>0.63089316754987268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3-4C73-B3E4-A8F7D9A4F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Gen'!$J$844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Gen'!$I$845:$I$854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Gen'!$J$845:$J$854</c:f>
              <c:numCache>
                <c:formatCode>0%</c:formatCode>
                <c:ptCount val="10"/>
                <c:pt idx="0">
                  <c:v>0.97006590002484039</c:v>
                </c:pt>
                <c:pt idx="1">
                  <c:v>0.95605895673130092</c:v>
                </c:pt>
                <c:pt idx="2">
                  <c:v>0.81155513522237854</c:v>
                </c:pt>
                <c:pt idx="3">
                  <c:v>0.84109936525852191</c:v>
                </c:pt>
                <c:pt idx="4">
                  <c:v>0.84293668074410721</c:v>
                </c:pt>
                <c:pt idx="5">
                  <c:v>0.85641170091404584</c:v>
                </c:pt>
                <c:pt idx="6">
                  <c:v>0.83844513982251323</c:v>
                </c:pt>
                <c:pt idx="7">
                  <c:v>0.79040733381766393</c:v>
                </c:pt>
                <c:pt idx="8">
                  <c:v>0.6490890801385939</c:v>
                </c:pt>
                <c:pt idx="9">
                  <c:v>1.4160954476673211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4-4CFF-AC74-C1A0F1B2044A}"/>
            </c:ext>
          </c:extLst>
        </c:ser>
        <c:ser>
          <c:idx val="1"/>
          <c:order val="1"/>
          <c:tx>
            <c:strRef>
              <c:f>'0.1 Seconds Traffic Gen'!$K$844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Gen'!$I$845:$I$854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Gen'!$K$845:$K$854</c:f>
              <c:numCache>
                <c:formatCode>0%</c:formatCode>
                <c:ptCount val="10"/>
                <c:pt idx="0">
                  <c:v>0.90923623186288127</c:v>
                </c:pt>
                <c:pt idx="1">
                  <c:v>0.87067705938167606</c:v>
                </c:pt>
                <c:pt idx="2">
                  <c:v>0.82860411316149396</c:v>
                </c:pt>
                <c:pt idx="3">
                  <c:v>0.82792746144134599</c:v>
                </c:pt>
                <c:pt idx="4">
                  <c:v>0.83988543204103405</c:v>
                </c:pt>
                <c:pt idx="5">
                  <c:v>0.83030857851076711</c:v>
                </c:pt>
                <c:pt idx="6">
                  <c:v>0.8803496073187731</c:v>
                </c:pt>
                <c:pt idx="7">
                  <c:v>0.73415786264263683</c:v>
                </c:pt>
                <c:pt idx="8">
                  <c:v>0.64297809321560284</c:v>
                </c:pt>
                <c:pt idx="9">
                  <c:v>1.4224340420703749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F4-4CFF-AC74-C1A0F1B20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Gen'!$J$871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Gen'!$I$872:$I$881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Gen'!$J$872:$J$881</c:f>
              <c:numCache>
                <c:formatCode>0%</c:formatCode>
                <c:ptCount val="10"/>
                <c:pt idx="0">
                  <c:v>0.51284658685682538</c:v>
                </c:pt>
                <c:pt idx="1">
                  <c:v>0.52815484902626963</c:v>
                </c:pt>
                <c:pt idx="2">
                  <c:v>0.51752971674225856</c:v>
                </c:pt>
                <c:pt idx="3">
                  <c:v>0.48103860056446285</c:v>
                </c:pt>
                <c:pt idx="4">
                  <c:v>0.4739158696223757</c:v>
                </c:pt>
                <c:pt idx="5">
                  <c:v>0.47501869170788652</c:v>
                </c:pt>
                <c:pt idx="6">
                  <c:v>0.46696745223166758</c:v>
                </c:pt>
                <c:pt idx="7">
                  <c:v>0.40805706190116808</c:v>
                </c:pt>
                <c:pt idx="8">
                  <c:v>0.35749788862381598</c:v>
                </c:pt>
                <c:pt idx="9">
                  <c:v>1.0681710428487605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3-450D-BE34-58DDE0CA2ACD}"/>
            </c:ext>
          </c:extLst>
        </c:ser>
        <c:ser>
          <c:idx val="1"/>
          <c:order val="1"/>
          <c:tx>
            <c:strRef>
              <c:f>'0.1 Seconds Traffic Gen'!$K$871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Gen'!$I$872:$I$881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Gen'!$K$872:$K$881</c:f>
              <c:numCache>
                <c:formatCode>0%</c:formatCode>
                <c:ptCount val="10"/>
                <c:pt idx="0">
                  <c:v>0.49832171266688879</c:v>
                </c:pt>
                <c:pt idx="1">
                  <c:v>0.46598705119350575</c:v>
                </c:pt>
                <c:pt idx="2">
                  <c:v>0.48240939618506679</c:v>
                </c:pt>
                <c:pt idx="3">
                  <c:v>0.47935628183063322</c:v>
                </c:pt>
                <c:pt idx="4">
                  <c:v>0.44845092365576222</c:v>
                </c:pt>
                <c:pt idx="5">
                  <c:v>0.45162210063156139</c:v>
                </c:pt>
                <c:pt idx="6">
                  <c:v>0.46105250733562259</c:v>
                </c:pt>
                <c:pt idx="7">
                  <c:v>0.38446530332621209</c:v>
                </c:pt>
                <c:pt idx="8">
                  <c:v>0.33141987192801403</c:v>
                </c:pt>
                <c:pt idx="9">
                  <c:v>0.95316672753435028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A3-450D-BE34-58DDE0CA2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Gen'!$J$898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Gen'!$I$899:$I$908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Gen'!$J$899:$J$908</c:f>
              <c:numCache>
                <c:formatCode>0%</c:formatCode>
                <c:ptCount val="10"/>
                <c:pt idx="0">
                  <c:v>1.5926994176166747</c:v>
                </c:pt>
                <c:pt idx="1">
                  <c:v>1.651164149597423</c:v>
                </c:pt>
                <c:pt idx="2">
                  <c:v>1.5794400590824949</c:v>
                </c:pt>
                <c:pt idx="3">
                  <c:v>1.4812482615076206</c:v>
                </c:pt>
                <c:pt idx="4">
                  <c:v>1.5173742331288342</c:v>
                </c:pt>
                <c:pt idx="5">
                  <c:v>1.4976908614376205</c:v>
                </c:pt>
                <c:pt idx="6">
                  <c:v>1.4498842710256732</c:v>
                </c:pt>
                <c:pt idx="7">
                  <c:v>1.2715288282471839</c:v>
                </c:pt>
                <c:pt idx="8">
                  <c:v>1.2259590095960193</c:v>
                </c:pt>
                <c:pt idx="9">
                  <c:v>2.6634987997607711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9-430C-9F08-37E770E82ADE}"/>
            </c:ext>
          </c:extLst>
        </c:ser>
        <c:ser>
          <c:idx val="1"/>
          <c:order val="1"/>
          <c:tx>
            <c:strRef>
              <c:f>'0.1 Seconds Traffic Gen'!$K$898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Gen'!$I$899:$I$908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Gen'!$K$899:$K$908</c:f>
              <c:numCache>
                <c:formatCode>0%</c:formatCode>
                <c:ptCount val="10"/>
                <c:pt idx="0">
                  <c:v>1.5695771411540465</c:v>
                </c:pt>
                <c:pt idx="1">
                  <c:v>1.5621516863917573</c:v>
                </c:pt>
                <c:pt idx="2">
                  <c:v>1.5221559355847343</c:v>
                </c:pt>
                <c:pt idx="3">
                  <c:v>1.4852527887815687</c:v>
                </c:pt>
                <c:pt idx="4">
                  <c:v>1.4791165644171778</c:v>
                </c:pt>
                <c:pt idx="5">
                  <c:v>1.4281119451620619</c:v>
                </c:pt>
                <c:pt idx="6">
                  <c:v>1.4593175418645725</c:v>
                </c:pt>
                <c:pt idx="7">
                  <c:v>1.3250575119860342</c:v>
                </c:pt>
                <c:pt idx="8">
                  <c:v>1.2096410377917306</c:v>
                </c:pt>
                <c:pt idx="9">
                  <c:v>2.3651348937808767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D9-430C-9F08-37E770E8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Gen'!$J$925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Gen'!$I$926:$I$935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Gen'!$J$926:$J$935</c:f>
              <c:numCache>
                <c:formatCode>0%</c:formatCode>
                <c:ptCount val="10"/>
                <c:pt idx="0">
                  <c:v>0.81920311396017254</c:v>
                </c:pt>
                <c:pt idx="1">
                  <c:v>0.81966793159240003</c:v>
                </c:pt>
                <c:pt idx="2">
                  <c:v>0.81194810547830742</c:v>
                </c:pt>
                <c:pt idx="3">
                  <c:v>0.76927145507011441</c:v>
                </c:pt>
                <c:pt idx="4">
                  <c:v>0.75831682278407386</c:v>
                </c:pt>
                <c:pt idx="5">
                  <c:v>0.73307117140960987</c:v>
                </c:pt>
                <c:pt idx="6">
                  <c:v>0.71831719550150996</c:v>
                </c:pt>
                <c:pt idx="7">
                  <c:v>0.67003090156376599</c:v>
                </c:pt>
                <c:pt idx="8">
                  <c:v>0.54835635882386413</c:v>
                </c:pt>
                <c:pt idx="9">
                  <c:v>1.1788437460907253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E-480B-B301-8DBB25D210E8}"/>
            </c:ext>
          </c:extLst>
        </c:ser>
        <c:ser>
          <c:idx val="1"/>
          <c:order val="1"/>
          <c:tx>
            <c:strRef>
              <c:f>'0.1 Seconds Traffic Gen'!$K$925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Gen'!$I$926:$I$935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Gen'!$K$926:$K$935</c:f>
              <c:numCache>
                <c:formatCode>0%</c:formatCode>
                <c:ptCount val="10"/>
                <c:pt idx="0">
                  <c:v>0.74059350284968528</c:v>
                </c:pt>
                <c:pt idx="1">
                  <c:v>0.72635808212181463</c:v>
                </c:pt>
                <c:pt idx="2">
                  <c:v>0.73276383066153605</c:v>
                </c:pt>
                <c:pt idx="3">
                  <c:v>0.69157005021461715</c:v>
                </c:pt>
                <c:pt idx="4">
                  <c:v>0.68489437776325013</c:v>
                </c:pt>
                <c:pt idx="5">
                  <c:v>0.67800862881908286</c:v>
                </c:pt>
                <c:pt idx="6">
                  <c:v>0.65704174499201118</c:v>
                </c:pt>
                <c:pt idx="7">
                  <c:v>0.61320381692805959</c:v>
                </c:pt>
                <c:pt idx="8">
                  <c:v>0.49678091032973332</c:v>
                </c:pt>
                <c:pt idx="9">
                  <c:v>1.1427323499986679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5E-480B-B301-8DBB25D21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Gen'!$J$952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Gen'!$I$953:$I$962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Gen'!$J$953:$J$962</c:f>
              <c:numCache>
                <c:formatCode>0%</c:formatCode>
                <c:ptCount val="10"/>
                <c:pt idx="0">
                  <c:v>2.2650924504711472</c:v>
                </c:pt>
                <c:pt idx="1">
                  <c:v>2.1436536536334905</c:v>
                </c:pt>
                <c:pt idx="2">
                  <c:v>2.2229850876809376</c:v>
                </c:pt>
                <c:pt idx="3">
                  <c:v>2.2201949418682347</c:v>
                </c:pt>
                <c:pt idx="4">
                  <c:v>1.9896533418804274</c:v>
                </c:pt>
                <c:pt idx="5">
                  <c:v>2.0789455204860983</c:v>
                </c:pt>
                <c:pt idx="6">
                  <c:v>2.0277724995249571</c:v>
                </c:pt>
                <c:pt idx="7">
                  <c:v>1.9896968724411912</c:v>
                </c:pt>
                <c:pt idx="8">
                  <c:v>1.8119237225764302</c:v>
                </c:pt>
                <c:pt idx="9">
                  <c:v>3.0538471708090955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5-434C-8E60-F7DD94145506}"/>
            </c:ext>
          </c:extLst>
        </c:ser>
        <c:ser>
          <c:idx val="1"/>
          <c:order val="1"/>
          <c:tx>
            <c:strRef>
              <c:f>'0.1 Seconds Traffic Gen'!$K$952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Gen'!$I$953:$I$962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Gen'!$K$953:$K$962</c:f>
              <c:numCache>
                <c:formatCode>0%</c:formatCode>
                <c:ptCount val="10"/>
                <c:pt idx="0">
                  <c:v>1.6264472386838389</c:v>
                </c:pt>
                <c:pt idx="1">
                  <c:v>1.5801539326136922</c:v>
                </c:pt>
                <c:pt idx="2">
                  <c:v>1.701709887610968</c:v>
                </c:pt>
                <c:pt idx="3">
                  <c:v>1.7474776159294403</c:v>
                </c:pt>
                <c:pt idx="4">
                  <c:v>1.5856829495487736</c:v>
                </c:pt>
                <c:pt idx="5">
                  <c:v>1.6326464015597439</c:v>
                </c:pt>
                <c:pt idx="6">
                  <c:v>1.5750517546579192</c:v>
                </c:pt>
                <c:pt idx="7">
                  <c:v>1.5802051573243137</c:v>
                </c:pt>
                <c:pt idx="8">
                  <c:v>1.3575793660638236</c:v>
                </c:pt>
                <c:pt idx="9">
                  <c:v>2.8491472765732415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05-434C-8E60-F7DD94145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Gen'!$J$979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Gen'!$I$980:$I$989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Gen'!$J$980:$J$989</c:f>
              <c:numCache>
                <c:formatCode>0%</c:formatCode>
                <c:ptCount val="10"/>
                <c:pt idx="0">
                  <c:v>0.78964282742977354</c:v>
                </c:pt>
                <c:pt idx="1">
                  <c:v>0.7858288653069686</c:v>
                </c:pt>
                <c:pt idx="2">
                  <c:v>0.75100548565946723</c:v>
                </c:pt>
                <c:pt idx="3">
                  <c:v>0.72993555441692437</c:v>
                </c:pt>
                <c:pt idx="4">
                  <c:v>0.73258074410526175</c:v>
                </c:pt>
                <c:pt idx="5">
                  <c:v>0.7304319050497301</c:v>
                </c:pt>
                <c:pt idx="6">
                  <c:v>0.72988839465186228</c:v>
                </c:pt>
                <c:pt idx="7">
                  <c:v>0.65946757424890157</c:v>
                </c:pt>
                <c:pt idx="8">
                  <c:v>0.60541272285251835</c:v>
                </c:pt>
                <c:pt idx="9">
                  <c:v>0.4523807997069505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0-4E87-96ED-9D266F1BD5E1}"/>
            </c:ext>
          </c:extLst>
        </c:ser>
        <c:ser>
          <c:idx val="1"/>
          <c:order val="1"/>
          <c:tx>
            <c:strRef>
              <c:f>'0.1 Seconds Traffic Gen'!$K$979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Gen'!$I$980:$I$989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Gen'!$K$980:$K$989</c:f>
              <c:numCache>
                <c:formatCode>0%</c:formatCode>
                <c:ptCount val="10"/>
                <c:pt idx="0">
                  <c:v>0.60392404081886342</c:v>
                </c:pt>
                <c:pt idx="1">
                  <c:v>0.59802949714625309</c:v>
                </c:pt>
                <c:pt idx="2">
                  <c:v>0.60989122996217593</c:v>
                </c:pt>
                <c:pt idx="3">
                  <c:v>0.6181196912955268</c:v>
                </c:pt>
                <c:pt idx="4">
                  <c:v>0.58832545773197575</c:v>
                </c:pt>
                <c:pt idx="5">
                  <c:v>0.57290282902313217</c:v>
                </c:pt>
                <c:pt idx="6">
                  <c:v>0.61308947945479142</c:v>
                </c:pt>
                <c:pt idx="7">
                  <c:v>0.56295350889406615</c:v>
                </c:pt>
                <c:pt idx="8">
                  <c:v>0.48028430128548549</c:v>
                </c:pt>
                <c:pt idx="9">
                  <c:v>0.40064237575830319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90-4E87-96ED-9D266F1BD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Gen'!$J$1006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Gen'!$I$1007:$I$1016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Gen'!$J$1007:$J$1016</c:f>
              <c:numCache>
                <c:formatCode>0%</c:formatCode>
                <c:ptCount val="10"/>
                <c:pt idx="0">
                  <c:v>1.1707665171154424</c:v>
                </c:pt>
                <c:pt idx="1">
                  <c:v>1.2041156333206542</c:v>
                </c:pt>
                <c:pt idx="2">
                  <c:v>1.1352848761754415</c:v>
                </c:pt>
                <c:pt idx="3">
                  <c:v>1.0965885458024216</c:v>
                </c:pt>
                <c:pt idx="4">
                  <c:v>1.182113422592604</c:v>
                </c:pt>
                <c:pt idx="5">
                  <c:v>1.2064470896878225</c:v>
                </c:pt>
                <c:pt idx="6">
                  <c:v>1.1030379588908641</c:v>
                </c:pt>
                <c:pt idx="7">
                  <c:v>1.1031006113550792</c:v>
                </c:pt>
                <c:pt idx="8">
                  <c:v>1.0893303659657836</c:v>
                </c:pt>
                <c:pt idx="9">
                  <c:v>0.70268750635538724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2-4D3E-A8E4-05F501CFCFFD}"/>
            </c:ext>
          </c:extLst>
        </c:ser>
        <c:ser>
          <c:idx val="1"/>
          <c:order val="1"/>
          <c:tx>
            <c:strRef>
              <c:f>'0.1 Seconds Traffic Gen'!$K$1006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Gen'!$I$1007:$I$1016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Gen'!$K$1007:$K$1016</c:f>
              <c:numCache>
                <c:formatCode>0%</c:formatCode>
                <c:ptCount val="10"/>
                <c:pt idx="0">
                  <c:v>0.42218091062789559</c:v>
                </c:pt>
                <c:pt idx="1">
                  <c:v>0.4222822365918602</c:v>
                </c:pt>
                <c:pt idx="2">
                  <c:v>0.61170773912977483</c:v>
                </c:pt>
                <c:pt idx="3">
                  <c:v>0.57512232381211659</c:v>
                </c:pt>
                <c:pt idx="4">
                  <c:v>0.57963632464229919</c:v>
                </c:pt>
                <c:pt idx="5">
                  <c:v>0.51157566208565441</c:v>
                </c:pt>
                <c:pt idx="6">
                  <c:v>0.64079411122547647</c:v>
                </c:pt>
                <c:pt idx="7">
                  <c:v>0.55191038677406479</c:v>
                </c:pt>
                <c:pt idx="8">
                  <c:v>0.61886798937934462</c:v>
                </c:pt>
                <c:pt idx="9">
                  <c:v>0.58917380962350197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2-4D3E-A8E4-05F501CFC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Gen'!$J$1033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Gen'!$I$1034:$I$1043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Gen'!$J$1034:$J$1043</c:f>
              <c:numCache>
                <c:formatCode>0%</c:formatCode>
                <c:ptCount val="10"/>
                <c:pt idx="0">
                  <c:v>0.51170274028601481</c:v>
                </c:pt>
                <c:pt idx="1">
                  <c:v>0.47514584329271137</c:v>
                </c:pt>
                <c:pt idx="2">
                  <c:v>0.47158962258843851</c:v>
                </c:pt>
                <c:pt idx="3">
                  <c:v>0.4751360625500049</c:v>
                </c:pt>
                <c:pt idx="4">
                  <c:v>0.4686805100426697</c:v>
                </c:pt>
                <c:pt idx="5">
                  <c:v>0.50287676056841424</c:v>
                </c:pt>
                <c:pt idx="6">
                  <c:v>0.44170346987541886</c:v>
                </c:pt>
                <c:pt idx="7">
                  <c:v>0.43544868635570705</c:v>
                </c:pt>
                <c:pt idx="8">
                  <c:v>0.41129088349800774</c:v>
                </c:pt>
                <c:pt idx="9">
                  <c:v>0.15833789587918073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3-4008-BE8B-2AF8F42EDA05}"/>
            </c:ext>
          </c:extLst>
        </c:ser>
        <c:ser>
          <c:idx val="1"/>
          <c:order val="1"/>
          <c:tx>
            <c:strRef>
              <c:f>'0.1 Seconds Traffic Gen'!$K$1033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Gen'!$I$1034:$I$1043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Gen'!$K$1034:$K$1043</c:f>
              <c:numCache>
                <c:formatCode>0%</c:formatCode>
                <c:ptCount val="10"/>
                <c:pt idx="0">
                  <c:v>0.31922323482446463</c:v>
                </c:pt>
                <c:pt idx="1">
                  <c:v>0.28944453845917589</c:v>
                </c:pt>
                <c:pt idx="2">
                  <c:v>0.34221940720521571</c:v>
                </c:pt>
                <c:pt idx="3">
                  <c:v>0.34107423322754177</c:v>
                </c:pt>
                <c:pt idx="4">
                  <c:v>0.33540110883627672</c:v>
                </c:pt>
                <c:pt idx="5">
                  <c:v>0.35978903897429459</c:v>
                </c:pt>
                <c:pt idx="6">
                  <c:v>0.34778765449802523</c:v>
                </c:pt>
                <c:pt idx="7">
                  <c:v>0.32287242522198595</c:v>
                </c:pt>
                <c:pt idx="8">
                  <c:v>0.29093403776661114</c:v>
                </c:pt>
                <c:pt idx="9">
                  <c:v>0.15941201731294638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33-4008-BE8B-2AF8F42ED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Gen'!$J$1060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Gen'!$I$1061:$I$1070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Gen'!$J$1061:$J$1070</c:f>
              <c:numCache>
                <c:formatCode>0%</c:formatCode>
                <c:ptCount val="10"/>
                <c:pt idx="0">
                  <c:v>0.69980457325782264</c:v>
                </c:pt>
                <c:pt idx="1">
                  <c:v>0.69762990976767258</c:v>
                </c:pt>
                <c:pt idx="2">
                  <c:v>0.71098358333752176</c:v>
                </c:pt>
                <c:pt idx="3">
                  <c:v>0.66197068953873184</c:v>
                </c:pt>
                <c:pt idx="4">
                  <c:v>0.73705124816580259</c:v>
                </c:pt>
                <c:pt idx="5">
                  <c:v>0.73897642775817729</c:v>
                </c:pt>
                <c:pt idx="6">
                  <c:v>0.67672423529199177</c:v>
                </c:pt>
                <c:pt idx="7">
                  <c:v>0.70253765646665522</c:v>
                </c:pt>
                <c:pt idx="8">
                  <c:v>0.69262409263827618</c:v>
                </c:pt>
                <c:pt idx="9">
                  <c:v>0.27854552873204652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4-43CF-B0FE-800199FE1EDC}"/>
            </c:ext>
          </c:extLst>
        </c:ser>
        <c:ser>
          <c:idx val="1"/>
          <c:order val="1"/>
          <c:tx>
            <c:strRef>
              <c:f>'0.1 Seconds Traffic Gen'!$K$1060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Gen'!$I$1061:$I$1070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Gen'!$K$1061:$K$1070</c:f>
              <c:numCache>
                <c:formatCode>0%</c:formatCode>
                <c:ptCount val="10"/>
                <c:pt idx="0">
                  <c:v>0.15796919421609384</c:v>
                </c:pt>
                <c:pt idx="1">
                  <c:v>0.15035202540824849</c:v>
                </c:pt>
                <c:pt idx="2">
                  <c:v>0.34930527316174975</c:v>
                </c:pt>
                <c:pt idx="3">
                  <c:v>0.32837621845523524</c:v>
                </c:pt>
                <c:pt idx="4">
                  <c:v>0.34610056415818319</c:v>
                </c:pt>
                <c:pt idx="5">
                  <c:v>0.36666526104699931</c:v>
                </c:pt>
                <c:pt idx="6">
                  <c:v>0.32689883853830204</c:v>
                </c:pt>
                <c:pt idx="7">
                  <c:v>0.32396432845176354</c:v>
                </c:pt>
                <c:pt idx="8">
                  <c:v>0.29991945819170979</c:v>
                </c:pt>
                <c:pt idx="9">
                  <c:v>0.23686517223096662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4-43CF-B0FE-800199FE1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Gen'!$I$4:$I$13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Gen'!$J$4:$J$13</c:f>
              <c:numCache>
                <c:formatCode>0%</c:formatCode>
                <c:ptCount val="10"/>
                <c:pt idx="0">
                  <c:v>4.8678968730911662E-3</c:v>
                </c:pt>
                <c:pt idx="1">
                  <c:v>7.5389470909177549E-3</c:v>
                </c:pt>
                <c:pt idx="2">
                  <c:v>5.4743258324129384E-3</c:v>
                </c:pt>
                <c:pt idx="3">
                  <c:v>5.1991352267205708E-3</c:v>
                </c:pt>
                <c:pt idx="4">
                  <c:v>7.3157075707873812E-3</c:v>
                </c:pt>
                <c:pt idx="5">
                  <c:v>7.2723677368639892E-3</c:v>
                </c:pt>
                <c:pt idx="6">
                  <c:v>7.4172450125424968E-3</c:v>
                </c:pt>
                <c:pt idx="7">
                  <c:v>4.8359957300458294E-3</c:v>
                </c:pt>
                <c:pt idx="8">
                  <c:v>6.1037666234532266E-3</c:v>
                </c:pt>
                <c:pt idx="9">
                  <c:v>0.1223737250822777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7-42BF-A86E-4359E331CCD3}"/>
            </c:ext>
          </c:extLst>
        </c:ser>
        <c:ser>
          <c:idx val="1"/>
          <c:order val="1"/>
          <c:tx>
            <c:strRef>
              <c:f>'0.5 Seconds Traffic Gen'!$K$3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Gen'!$I$4:$I$13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Gen'!$K$4:$K$13</c:f>
              <c:numCache>
                <c:formatCode>0%</c:formatCode>
                <c:ptCount val="10"/>
                <c:pt idx="0">
                  <c:v>5.2320919559555989E-3</c:v>
                </c:pt>
                <c:pt idx="1">
                  <c:v>3.7915688089371988E-3</c:v>
                </c:pt>
                <c:pt idx="2">
                  <c:v>4.0328844504160105E-3</c:v>
                </c:pt>
                <c:pt idx="3">
                  <c:v>8.816098373223457E-3</c:v>
                </c:pt>
                <c:pt idx="4">
                  <c:v>5.6516554574280072E-3</c:v>
                </c:pt>
                <c:pt idx="5">
                  <c:v>6.7204849560549033E-3</c:v>
                </c:pt>
                <c:pt idx="6">
                  <c:v>6.7348004450158826E-3</c:v>
                </c:pt>
                <c:pt idx="7">
                  <c:v>2.4307769526371618E-3</c:v>
                </c:pt>
                <c:pt idx="8">
                  <c:v>3.0248939234185624E-3</c:v>
                </c:pt>
                <c:pt idx="9">
                  <c:v>0.11286833089131396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7-42BF-A86E-4359E331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Gen'!$J$30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Gen'!$I$31:$I$40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Gen'!$J$31:$J$40</c:f>
              <c:numCache>
                <c:formatCode>0%</c:formatCode>
                <c:ptCount val="10"/>
                <c:pt idx="0">
                  <c:v>0.11568645990922841</c:v>
                </c:pt>
                <c:pt idx="1">
                  <c:v>0.15939000053934529</c:v>
                </c:pt>
                <c:pt idx="2">
                  <c:v>9.3467904933353302E-2</c:v>
                </c:pt>
                <c:pt idx="3">
                  <c:v>7.9495660166085169E-2</c:v>
                </c:pt>
                <c:pt idx="4">
                  <c:v>0.16213820454903599</c:v>
                </c:pt>
                <c:pt idx="5">
                  <c:v>0.13983640565096367</c:v>
                </c:pt>
                <c:pt idx="6">
                  <c:v>0.18198793450157985</c:v>
                </c:pt>
                <c:pt idx="7">
                  <c:v>0.1006256615164932</c:v>
                </c:pt>
                <c:pt idx="8">
                  <c:v>0.1088444720556259</c:v>
                </c:pt>
                <c:pt idx="9">
                  <c:v>0.34504793551847285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0-49B4-9158-9AB628F33EB4}"/>
            </c:ext>
          </c:extLst>
        </c:ser>
        <c:ser>
          <c:idx val="1"/>
          <c:order val="1"/>
          <c:tx>
            <c:strRef>
              <c:f>'0.5 Seconds Traffic Gen'!$K$30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Gen'!$I$31:$I$40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Gen'!$K$31:$K$40</c:f>
              <c:numCache>
                <c:formatCode>0%</c:formatCode>
                <c:ptCount val="10"/>
                <c:pt idx="0">
                  <c:v>9.5391182191484791E-2</c:v>
                </c:pt>
                <c:pt idx="1">
                  <c:v>3.2091041475648625E-2</c:v>
                </c:pt>
                <c:pt idx="2">
                  <c:v>8.6890967108811876E-2</c:v>
                </c:pt>
                <c:pt idx="3">
                  <c:v>0.14339898640120641</c:v>
                </c:pt>
                <c:pt idx="4">
                  <c:v>9.9451068970951254E-2</c:v>
                </c:pt>
                <c:pt idx="5">
                  <c:v>0.1365014967701276</c:v>
                </c:pt>
                <c:pt idx="6">
                  <c:v>0.1382265632481087</c:v>
                </c:pt>
                <c:pt idx="7">
                  <c:v>6.3912670428568727E-2</c:v>
                </c:pt>
                <c:pt idx="8">
                  <c:v>2.6761606652171031E-3</c:v>
                </c:pt>
                <c:pt idx="9">
                  <c:v>0.3310270588033204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0-49B4-9158-9AB628F3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Gen'!$J$57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Gen'!$I$58:$I$67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Gen'!$J$58:$J$67</c:f>
              <c:numCache>
                <c:formatCode>0%</c:formatCode>
                <c:ptCount val="10"/>
                <c:pt idx="0">
                  <c:v>2.7772846742864645E-2</c:v>
                </c:pt>
                <c:pt idx="1">
                  <c:v>2.4285729988605963E-2</c:v>
                </c:pt>
                <c:pt idx="2">
                  <c:v>2.5414202718229372E-2</c:v>
                </c:pt>
                <c:pt idx="3">
                  <c:v>2.5993735899142216E-2</c:v>
                </c:pt>
                <c:pt idx="4">
                  <c:v>2.6204525750250958E-2</c:v>
                </c:pt>
                <c:pt idx="5">
                  <c:v>1.8515950911608549E-2</c:v>
                </c:pt>
                <c:pt idx="6">
                  <c:v>2.2453933678906829E-2</c:v>
                </c:pt>
                <c:pt idx="7">
                  <c:v>2.0158355414207258E-2</c:v>
                </c:pt>
                <c:pt idx="8">
                  <c:v>1.8961940449622256E-2</c:v>
                </c:pt>
                <c:pt idx="9">
                  <c:v>0.18160119141604977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3-4A71-B3AC-82D7BCCC75F6}"/>
            </c:ext>
          </c:extLst>
        </c:ser>
        <c:ser>
          <c:idx val="1"/>
          <c:order val="1"/>
          <c:tx>
            <c:strRef>
              <c:f>'0.5 Seconds Traffic Gen'!$K$57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Gen'!$I$58:$I$67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Gen'!$K$58:$K$67</c:f>
              <c:numCache>
                <c:formatCode>0%</c:formatCode>
                <c:ptCount val="10"/>
                <c:pt idx="0">
                  <c:v>2.1753625387611525E-2</c:v>
                </c:pt>
                <c:pt idx="1">
                  <c:v>2.7833773618385724E-2</c:v>
                </c:pt>
                <c:pt idx="2">
                  <c:v>3.0554874451940207E-2</c:v>
                </c:pt>
                <c:pt idx="3">
                  <c:v>2.9045062886256995E-2</c:v>
                </c:pt>
                <c:pt idx="4">
                  <c:v>2.6895194091492786E-2</c:v>
                </c:pt>
                <c:pt idx="5">
                  <c:v>2.5898400437416938E-2</c:v>
                </c:pt>
                <c:pt idx="6">
                  <c:v>2.4228891507226926E-2</c:v>
                </c:pt>
                <c:pt idx="7">
                  <c:v>2.338851045903784E-2</c:v>
                </c:pt>
                <c:pt idx="8">
                  <c:v>1.8976418336913332E-2</c:v>
                </c:pt>
                <c:pt idx="9">
                  <c:v>0.19842961601230741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3-4A71-B3AC-82D7BCCC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Gen'!$J$84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Gen'!$I$85:$I$94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Gen'!$J$85:$J$94</c:f>
              <c:numCache>
                <c:formatCode>0%</c:formatCode>
                <c:ptCount val="10"/>
                <c:pt idx="0">
                  <c:v>0.34083502373999663</c:v>
                </c:pt>
                <c:pt idx="1">
                  <c:v>0.34968791712883751</c:v>
                </c:pt>
                <c:pt idx="2">
                  <c:v>0.34096313778880483</c:v>
                </c:pt>
                <c:pt idx="3">
                  <c:v>0.33510451998230351</c:v>
                </c:pt>
                <c:pt idx="4">
                  <c:v>0.35881268245292175</c:v>
                </c:pt>
                <c:pt idx="5">
                  <c:v>0.23512729792821702</c:v>
                </c:pt>
                <c:pt idx="6">
                  <c:v>0.32288580984233156</c:v>
                </c:pt>
                <c:pt idx="7">
                  <c:v>0.24944700997322369</c:v>
                </c:pt>
                <c:pt idx="8">
                  <c:v>0.25622495771641512</c:v>
                </c:pt>
                <c:pt idx="9">
                  <c:v>0.32237004852367535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1-4955-91D5-2679DA0F3489}"/>
            </c:ext>
          </c:extLst>
        </c:ser>
        <c:ser>
          <c:idx val="1"/>
          <c:order val="1"/>
          <c:tx>
            <c:strRef>
              <c:f>'0.5 Seconds Traffic Gen'!$K$84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Gen'!$I$85:$I$94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Gen'!$K$85:$K$94</c:f>
              <c:numCache>
                <c:formatCode>0%</c:formatCode>
                <c:ptCount val="10"/>
                <c:pt idx="0">
                  <c:v>0.3359309868259735</c:v>
                </c:pt>
                <c:pt idx="1">
                  <c:v>0.41241939425842711</c:v>
                </c:pt>
                <c:pt idx="2">
                  <c:v>0.37281395130121692</c:v>
                </c:pt>
                <c:pt idx="3">
                  <c:v>0.34547356584574568</c:v>
                </c:pt>
                <c:pt idx="4">
                  <c:v>0.38064336614145367</c:v>
                </c:pt>
                <c:pt idx="5">
                  <c:v>0.34767106798949515</c:v>
                </c:pt>
                <c:pt idx="6">
                  <c:v>0.31950947603121527</c:v>
                </c:pt>
                <c:pt idx="7">
                  <c:v>0.21550872926556891</c:v>
                </c:pt>
                <c:pt idx="8">
                  <c:v>0.24045114550075539</c:v>
                </c:pt>
                <c:pt idx="9">
                  <c:v>0.3569059021280645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1-4955-91D5-2679DA0F3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Gen'!$J$111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Gen'!$I$112:$I$121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Gen'!$J$112:$J$121</c:f>
              <c:numCache>
                <c:formatCode>0%</c:formatCode>
                <c:ptCount val="10"/>
                <c:pt idx="0">
                  <c:v>6.4617129529831022E-2</c:v>
                </c:pt>
                <c:pt idx="1">
                  <c:v>6.6641811509974225E-2</c:v>
                </c:pt>
                <c:pt idx="2">
                  <c:v>7.3467758568190281E-2</c:v>
                </c:pt>
                <c:pt idx="3">
                  <c:v>6.6958243952345578E-2</c:v>
                </c:pt>
                <c:pt idx="4">
                  <c:v>6.8217347981826063E-2</c:v>
                </c:pt>
                <c:pt idx="5">
                  <c:v>6.1993119736466089E-2</c:v>
                </c:pt>
                <c:pt idx="6">
                  <c:v>6.1340301590736029E-2</c:v>
                </c:pt>
                <c:pt idx="7">
                  <c:v>5.6717378256164144E-2</c:v>
                </c:pt>
                <c:pt idx="8">
                  <c:v>4.9461201558599885E-2</c:v>
                </c:pt>
                <c:pt idx="9">
                  <c:v>0.26760324064625257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7-4979-B67A-A8D7FEDD12BA}"/>
            </c:ext>
          </c:extLst>
        </c:ser>
        <c:ser>
          <c:idx val="1"/>
          <c:order val="1"/>
          <c:tx>
            <c:strRef>
              <c:f>'0.5 Seconds Traffic Gen'!$K$111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Gen'!$I$112:$I$121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Gen'!$K$112:$K$121</c:f>
              <c:numCache>
                <c:formatCode>0%</c:formatCode>
                <c:ptCount val="10"/>
                <c:pt idx="0">
                  <c:v>7.3375097470321449E-2</c:v>
                </c:pt>
                <c:pt idx="1">
                  <c:v>6.1869607345620269E-2</c:v>
                </c:pt>
                <c:pt idx="2">
                  <c:v>6.9922824301240721E-2</c:v>
                </c:pt>
                <c:pt idx="3">
                  <c:v>6.4322315473636468E-2</c:v>
                </c:pt>
                <c:pt idx="4">
                  <c:v>6.2799069550831005E-2</c:v>
                </c:pt>
                <c:pt idx="5">
                  <c:v>6.1179160635950816E-2</c:v>
                </c:pt>
                <c:pt idx="6">
                  <c:v>5.9704899804858443E-2</c:v>
                </c:pt>
                <c:pt idx="7">
                  <c:v>5.6230149276012061E-2</c:v>
                </c:pt>
                <c:pt idx="8">
                  <c:v>5.0735957110829802E-2</c:v>
                </c:pt>
                <c:pt idx="9">
                  <c:v>0.27439228970788077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87-4979-B67A-A8D7FEDD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Gen'!$J$138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Gen'!$I$139:$I$148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Gen'!$J$139:$J$148</c:f>
              <c:numCache>
                <c:formatCode>0%</c:formatCode>
                <c:ptCount val="10"/>
                <c:pt idx="0">
                  <c:v>0.46943337002766944</c:v>
                </c:pt>
                <c:pt idx="1">
                  <c:v>0.48115042431116828</c:v>
                </c:pt>
                <c:pt idx="2">
                  <c:v>0.5254771467941014</c:v>
                </c:pt>
                <c:pt idx="3">
                  <c:v>0.41825171708883585</c:v>
                </c:pt>
                <c:pt idx="4">
                  <c:v>0.47249383281835705</c:v>
                </c:pt>
                <c:pt idx="5">
                  <c:v>0.46030705055152971</c:v>
                </c:pt>
                <c:pt idx="6">
                  <c:v>0.42848172432424542</c:v>
                </c:pt>
                <c:pt idx="7">
                  <c:v>0.42085567164779092</c:v>
                </c:pt>
                <c:pt idx="8">
                  <c:v>0.35958265963848873</c:v>
                </c:pt>
                <c:pt idx="9">
                  <c:v>0.36470975594616406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C-4F2F-906C-6CBAF2C56570}"/>
            </c:ext>
          </c:extLst>
        </c:ser>
        <c:ser>
          <c:idx val="1"/>
          <c:order val="1"/>
          <c:tx>
            <c:strRef>
              <c:f>'0.5 Seconds Traffic Gen'!$K$138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Gen'!$I$139:$I$148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Gen'!$K$139:$K$148</c:f>
              <c:numCache>
                <c:formatCode>0%</c:formatCode>
                <c:ptCount val="10"/>
                <c:pt idx="0">
                  <c:v>0.53817574603552409</c:v>
                </c:pt>
                <c:pt idx="1">
                  <c:v>0.43593231897622531</c:v>
                </c:pt>
                <c:pt idx="2">
                  <c:v>0.51108578381072445</c:v>
                </c:pt>
                <c:pt idx="3">
                  <c:v>0.4175196112411847</c:v>
                </c:pt>
                <c:pt idx="4">
                  <c:v>0.40837662593402801</c:v>
                </c:pt>
                <c:pt idx="5">
                  <c:v>0.43065918392213354</c:v>
                </c:pt>
                <c:pt idx="6">
                  <c:v>0.43385198381985718</c:v>
                </c:pt>
                <c:pt idx="7">
                  <c:v>0.41178147372575674</c:v>
                </c:pt>
                <c:pt idx="8">
                  <c:v>0.40270879706498647</c:v>
                </c:pt>
                <c:pt idx="9">
                  <c:v>0.41014430563539561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9C-4F2F-906C-6CBAF2C56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Gen'!$J$165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Gen'!$I$166:$I$175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Gen'!$J$166:$J$175</c:f>
              <c:numCache>
                <c:formatCode>0%</c:formatCode>
                <c:ptCount val="10"/>
                <c:pt idx="0">
                  <c:v>0.16400289103908644</c:v>
                </c:pt>
                <c:pt idx="1">
                  <c:v>0.1545754259631052</c:v>
                </c:pt>
                <c:pt idx="2">
                  <c:v>0.13911182594037064</c:v>
                </c:pt>
                <c:pt idx="3">
                  <c:v>0.13747702658839178</c:v>
                </c:pt>
                <c:pt idx="4">
                  <c:v>0.14405062788617812</c:v>
                </c:pt>
                <c:pt idx="5">
                  <c:v>0.14507642001371573</c:v>
                </c:pt>
                <c:pt idx="6">
                  <c:v>0.13461212630847544</c:v>
                </c:pt>
                <c:pt idx="7">
                  <c:v>0.12732164343525909</c:v>
                </c:pt>
                <c:pt idx="8">
                  <c:v>0.10137525604932408</c:v>
                </c:pt>
                <c:pt idx="9">
                  <c:v>0.34052794080307552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C-40B5-9CF0-F838DEA6133E}"/>
            </c:ext>
          </c:extLst>
        </c:ser>
        <c:ser>
          <c:idx val="1"/>
          <c:order val="1"/>
          <c:tx>
            <c:strRef>
              <c:f>'0.5 Seconds Traffic Gen'!$K$165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Gen'!$I$166:$I$175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Gen'!$K$166:$K$175</c:f>
              <c:numCache>
                <c:formatCode>0%</c:formatCode>
                <c:ptCount val="10"/>
                <c:pt idx="0">
                  <c:v>0.1421297373014925</c:v>
                </c:pt>
                <c:pt idx="1">
                  <c:v>0.14188241308937585</c:v>
                </c:pt>
                <c:pt idx="2">
                  <c:v>0.1291393911526004</c:v>
                </c:pt>
                <c:pt idx="3">
                  <c:v>0.12287046523480272</c:v>
                </c:pt>
                <c:pt idx="4">
                  <c:v>0.13353467137424324</c:v>
                </c:pt>
                <c:pt idx="5">
                  <c:v>0.13207792108050798</c:v>
                </c:pt>
                <c:pt idx="6">
                  <c:v>0.12557166696936486</c:v>
                </c:pt>
                <c:pt idx="7">
                  <c:v>0.12179297415134308</c:v>
                </c:pt>
                <c:pt idx="8">
                  <c:v>0.10553823013408535</c:v>
                </c:pt>
                <c:pt idx="9">
                  <c:v>0.32826364740135822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BC-40B5-9CF0-F838DEA61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Gen'!$J$192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Gen'!$I$193:$I$202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Gen'!$J$193:$J$202</c:f>
              <c:numCache>
                <c:formatCode>0%</c:formatCode>
                <c:ptCount val="10"/>
                <c:pt idx="0">
                  <c:v>0.8261735336320245</c:v>
                </c:pt>
                <c:pt idx="1">
                  <c:v>0.75185793269091317</c:v>
                </c:pt>
                <c:pt idx="2">
                  <c:v>0.75038453861237331</c:v>
                </c:pt>
                <c:pt idx="3">
                  <c:v>0.71593885169165128</c:v>
                </c:pt>
                <c:pt idx="4">
                  <c:v>0.73741455245451248</c:v>
                </c:pt>
                <c:pt idx="5">
                  <c:v>0.75133433202665956</c:v>
                </c:pt>
                <c:pt idx="6">
                  <c:v>0.8072131290401896</c:v>
                </c:pt>
                <c:pt idx="7">
                  <c:v>0.67469026228628781</c:v>
                </c:pt>
                <c:pt idx="8">
                  <c:v>0.57278265114600801</c:v>
                </c:pt>
                <c:pt idx="9">
                  <c:v>0.60676099035040709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A-499E-A515-1AB2457B952B}"/>
            </c:ext>
          </c:extLst>
        </c:ser>
        <c:ser>
          <c:idx val="1"/>
          <c:order val="1"/>
          <c:tx>
            <c:strRef>
              <c:f>'0.5 Seconds Traffic Gen'!$K$192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Gen'!$I$193:$I$202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Gen'!$K$193:$K$202</c:f>
              <c:numCache>
                <c:formatCode>0%</c:formatCode>
                <c:ptCount val="10"/>
                <c:pt idx="0">
                  <c:v>0.64449032182494381</c:v>
                </c:pt>
                <c:pt idx="1">
                  <c:v>0.68668960195858886</c:v>
                </c:pt>
                <c:pt idx="2">
                  <c:v>0.62312867660009164</c:v>
                </c:pt>
                <c:pt idx="3">
                  <c:v>0.58870652367126863</c:v>
                </c:pt>
                <c:pt idx="4">
                  <c:v>0.64372470842049445</c:v>
                </c:pt>
                <c:pt idx="5">
                  <c:v>0.6690079147941167</c:v>
                </c:pt>
                <c:pt idx="6">
                  <c:v>0.67525046451480386</c:v>
                </c:pt>
                <c:pt idx="7">
                  <c:v>0.623031647343534</c:v>
                </c:pt>
                <c:pt idx="8">
                  <c:v>0.59353481080786052</c:v>
                </c:pt>
                <c:pt idx="9">
                  <c:v>0.62885754420517559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A-499E-A515-1AB2457B9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Gen'!$J$219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Gen'!$I$220:$I$229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Gen'!$J$220:$J$229</c:f>
              <c:numCache>
                <c:formatCode>0%</c:formatCode>
                <c:ptCount val="10"/>
                <c:pt idx="0">
                  <c:v>0.32772851898315153</c:v>
                </c:pt>
                <c:pt idx="1">
                  <c:v>0.30900304035455523</c:v>
                </c:pt>
                <c:pt idx="2">
                  <c:v>0.31232376883701263</c:v>
                </c:pt>
                <c:pt idx="3">
                  <c:v>0.31128471973168664</c:v>
                </c:pt>
                <c:pt idx="4">
                  <c:v>0.31068745090915056</c:v>
                </c:pt>
                <c:pt idx="5">
                  <c:v>0.31456366798107382</c:v>
                </c:pt>
                <c:pt idx="6">
                  <c:v>0.27815337152513075</c:v>
                </c:pt>
                <c:pt idx="7">
                  <c:v>0.26377534432012389</c:v>
                </c:pt>
                <c:pt idx="8">
                  <c:v>0.22475787854791598</c:v>
                </c:pt>
                <c:pt idx="9">
                  <c:v>0.45529382727287343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B-4AC0-9588-E0746FC28337}"/>
            </c:ext>
          </c:extLst>
        </c:ser>
        <c:ser>
          <c:idx val="1"/>
          <c:order val="1"/>
          <c:tx>
            <c:strRef>
              <c:f>'0.5 Seconds Traffic Gen'!$K$219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Gen'!$I$220:$I$229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Gen'!$K$220:$K$229</c:f>
              <c:numCache>
                <c:formatCode>0%</c:formatCode>
                <c:ptCount val="10"/>
                <c:pt idx="0">
                  <c:v>0.32796590511434326</c:v>
                </c:pt>
                <c:pt idx="1">
                  <c:v>0.29978037390264639</c:v>
                </c:pt>
                <c:pt idx="2">
                  <c:v>0.30832384516790756</c:v>
                </c:pt>
                <c:pt idx="3">
                  <c:v>0.29677025489192926</c:v>
                </c:pt>
                <c:pt idx="4">
                  <c:v>0.29181067833689928</c:v>
                </c:pt>
                <c:pt idx="5">
                  <c:v>0.30275869577657821</c:v>
                </c:pt>
                <c:pt idx="6">
                  <c:v>0.29376961315170963</c:v>
                </c:pt>
                <c:pt idx="7">
                  <c:v>0.27296849197137663</c:v>
                </c:pt>
                <c:pt idx="8">
                  <c:v>0.23146425745020641</c:v>
                </c:pt>
                <c:pt idx="9">
                  <c:v>0.45582189016296143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0B-4AC0-9588-E0746FC28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Gen'!$J$246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Gen'!$I$247:$I$256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Gen'!$J$247:$J$256</c:f>
              <c:numCache>
                <c:formatCode>0%</c:formatCode>
                <c:ptCount val="10"/>
                <c:pt idx="0">
                  <c:v>1.1589263632845317</c:v>
                </c:pt>
                <c:pt idx="1">
                  <c:v>1.2016576818125633</c:v>
                </c:pt>
                <c:pt idx="2">
                  <c:v>1.3122784060046417</c:v>
                </c:pt>
                <c:pt idx="3">
                  <c:v>1.1895264497386084</c:v>
                </c:pt>
                <c:pt idx="4">
                  <c:v>1.2732486634684705</c:v>
                </c:pt>
                <c:pt idx="5">
                  <c:v>1.1532687466988965</c:v>
                </c:pt>
                <c:pt idx="6">
                  <c:v>1.1338225697223423</c:v>
                </c:pt>
                <c:pt idx="7">
                  <c:v>1.1000711185719994</c:v>
                </c:pt>
                <c:pt idx="8">
                  <c:v>0.94593500050622659</c:v>
                </c:pt>
                <c:pt idx="9">
                  <c:v>0.8316880140135936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8-4B93-8C9D-C9010403A30E}"/>
            </c:ext>
          </c:extLst>
        </c:ser>
        <c:ser>
          <c:idx val="1"/>
          <c:order val="1"/>
          <c:tx>
            <c:strRef>
              <c:f>'0.5 Seconds Traffic Gen'!$K$246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Gen'!$I$247:$I$256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Gen'!$K$247:$K$256</c:f>
              <c:numCache>
                <c:formatCode>0%</c:formatCode>
                <c:ptCount val="10"/>
                <c:pt idx="0">
                  <c:v>1.1439153663900923</c:v>
                </c:pt>
                <c:pt idx="1">
                  <c:v>1.144285347556975</c:v>
                </c:pt>
                <c:pt idx="2">
                  <c:v>1.2628833144042266</c:v>
                </c:pt>
                <c:pt idx="3">
                  <c:v>1.1545002138988316</c:v>
                </c:pt>
                <c:pt idx="4">
                  <c:v>1.1447021461839937</c:v>
                </c:pt>
                <c:pt idx="5">
                  <c:v>1.1590763096161438</c:v>
                </c:pt>
                <c:pt idx="6">
                  <c:v>1.227972665148064</c:v>
                </c:pt>
                <c:pt idx="7">
                  <c:v>1.0970806203147812</c:v>
                </c:pt>
                <c:pt idx="8">
                  <c:v>0.97949658852668287</c:v>
                </c:pt>
                <c:pt idx="9">
                  <c:v>0.87543970912412994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08-4B93-8C9D-C9010403A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Gen'!$J$273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Gen'!$I$274:$I$283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Gen'!$J$274:$J$283</c:f>
              <c:numCache>
                <c:formatCode>0%</c:formatCode>
                <c:ptCount val="10"/>
                <c:pt idx="0">
                  <c:v>0.7381823308506501</c:v>
                </c:pt>
                <c:pt idx="1">
                  <c:v>0.70099998591104362</c:v>
                </c:pt>
                <c:pt idx="2">
                  <c:v>0.71981677797211541</c:v>
                </c:pt>
                <c:pt idx="3">
                  <c:v>0.7013465853977302</c:v>
                </c:pt>
                <c:pt idx="4">
                  <c:v>0.67480737737360819</c:v>
                </c:pt>
                <c:pt idx="5">
                  <c:v>0.70317684114873302</c:v>
                </c:pt>
                <c:pt idx="6">
                  <c:v>0.63614102751933665</c:v>
                </c:pt>
                <c:pt idx="7">
                  <c:v>0.6124365769245782</c:v>
                </c:pt>
                <c:pt idx="8">
                  <c:v>0.54829951503461605</c:v>
                </c:pt>
                <c:pt idx="9">
                  <c:v>0.6473919709305469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5-450F-A046-AD06606B8215}"/>
            </c:ext>
          </c:extLst>
        </c:ser>
        <c:ser>
          <c:idx val="1"/>
          <c:order val="1"/>
          <c:tx>
            <c:strRef>
              <c:f>'0.5 Seconds Traffic Gen'!$K$273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Gen'!$I$274:$I$283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Gen'!$K$274:$K$283</c:f>
              <c:numCache>
                <c:formatCode>0%</c:formatCode>
                <c:ptCount val="10"/>
                <c:pt idx="0">
                  <c:v>0.65222308568375198</c:v>
                </c:pt>
                <c:pt idx="1">
                  <c:v>0.60239378757969064</c:v>
                </c:pt>
                <c:pt idx="2">
                  <c:v>0.64295622703218436</c:v>
                </c:pt>
                <c:pt idx="3">
                  <c:v>0.57866813609732892</c:v>
                </c:pt>
                <c:pt idx="4">
                  <c:v>0.59281771311807785</c:v>
                </c:pt>
                <c:pt idx="5">
                  <c:v>0.58323117232294064</c:v>
                </c:pt>
                <c:pt idx="6">
                  <c:v>0.57387140549894067</c:v>
                </c:pt>
                <c:pt idx="7">
                  <c:v>0.53565254475739021</c:v>
                </c:pt>
                <c:pt idx="8">
                  <c:v>0.47202559074488459</c:v>
                </c:pt>
                <c:pt idx="9">
                  <c:v>0.60634158946289052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5-450F-A046-AD06606B8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Gen'!$J$300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Gen'!$I$301:$I$310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Gen'!$J$301:$J$310</c:f>
              <c:numCache>
                <c:formatCode>0%</c:formatCode>
                <c:ptCount val="10"/>
                <c:pt idx="0">
                  <c:v>2.4754554786527621</c:v>
                </c:pt>
                <c:pt idx="1">
                  <c:v>2.117459275556175</c:v>
                </c:pt>
                <c:pt idx="2">
                  <c:v>2.4501880176838258</c:v>
                </c:pt>
                <c:pt idx="3">
                  <c:v>2.3187459878049528</c:v>
                </c:pt>
                <c:pt idx="4">
                  <c:v>2.3025590058030412</c:v>
                </c:pt>
                <c:pt idx="5">
                  <c:v>2.3289250495931917</c:v>
                </c:pt>
                <c:pt idx="6">
                  <c:v>2.2620042295232343</c:v>
                </c:pt>
                <c:pt idx="7">
                  <c:v>2.2027339356561075</c:v>
                </c:pt>
                <c:pt idx="8">
                  <c:v>2.0425784824307107</c:v>
                </c:pt>
                <c:pt idx="9">
                  <c:v>1.4413854672029145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D-4C4B-B2C4-9FC1A24E8BF8}"/>
            </c:ext>
          </c:extLst>
        </c:ser>
        <c:ser>
          <c:idx val="1"/>
          <c:order val="1"/>
          <c:tx>
            <c:strRef>
              <c:f>'0.5 Seconds Traffic Gen'!$K$300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Gen'!$I$301:$I$310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Gen'!$K$301:$K$310</c:f>
              <c:numCache>
                <c:formatCode>0%</c:formatCode>
                <c:ptCount val="10"/>
                <c:pt idx="0">
                  <c:v>2.0761255037064119</c:v>
                </c:pt>
                <c:pt idx="1">
                  <c:v>1.7954800017554873</c:v>
                </c:pt>
                <c:pt idx="2">
                  <c:v>2.0314887274082363</c:v>
                </c:pt>
                <c:pt idx="3">
                  <c:v>1.7807827754568082</c:v>
                </c:pt>
                <c:pt idx="4">
                  <c:v>1.8788917956573701</c:v>
                </c:pt>
                <c:pt idx="5">
                  <c:v>1.7996640394938415</c:v>
                </c:pt>
                <c:pt idx="6">
                  <c:v>2.0143135533598562</c:v>
                </c:pt>
                <c:pt idx="7">
                  <c:v>1.7551941069596706</c:v>
                </c:pt>
                <c:pt idx="8">
                  <c:v>1.7454954377143246</c:v>
                </c:pt>
                <c:pt idx="9">
                  <c:v>1.2969682760113264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5D-4C4B-B2C4-9FC1A24E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Gen'!$J$327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Gen'!$I$328:$I$337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Gen'!$J$328:$J$337</c:f>
              <c:numCache>
                <c:formatCode>0%</c:formatCode>
                <c:ptCount val="10"/>
                <c:pt idx="0">
                  <c:v>1.625574686065731</c:v>
                </c:pt>
                <c:pt idx="1">
                  <c:v>1.5934623591327872</c:v>
                </c:pt>
                <c:pt idx="2">
                  <c:v>1.5061133560900155</c:v>
                </c:pt>
                <c:pt idx="3">
                  <c:v>1.5228954425277299</c:v>
                </c:pt>
                <c:pt idx="4">
                  <c:v>1.4527454862492386</c:v>
                </c:pt>
                <c:pt idx="5">
                  <c:v>1.4552173783632167</c:v>
                </c:pt>
                <c:pt idx="6">
                  <c:v>1.4083005771080273</c:v>
                </c:pt>
                <c:pt idx="7">
                  <c:v>1.3371933512164547</c:v>
                </c:pt>
                <c:pt idx="8">
                  <c:v>1.1974982979261937</c:v>
                </c:pt>
                <c:pt idx="9">
                  <c:v>1.0260925018729083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1-44B9-8299-9193433E0E0F}"/>
            </c:ext>
          </c:extLst>
        </c:ser>
        <c:ser>
          <c:idx val="1"/>
          <c:order val="1"/>
          <c:tx>
            <c:strRef>
              <c:f>'0.5 Seconds Traffic Gen'!$K$327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Gen'!$I$328:$I$337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Gen'!$K$328:$K$337</c:f>
              <c:numCache>
                <c:formatCode>0%</c:formatCode>
                <c:ptCount val="10"/>
                <c:pt idx="0">
                  <c:v>1.564536348655085</c:v>
                </c:pt>
                <c:pt idx="1">
                  <c:v>1.496544996090015</c:v>
                </c:pt>
                <c:pt idx="2">
                  <c:v>1.4770999990345206</c:v>
                </c:pt>
                <c:pt idx="3">
                  <c:v>1.5122753862510485</c:v>
                </c:pt>
                <c:pt idx="4">
                  <c:v>1.4759958964150774</c:v>
                </c:pt>
                <c:pt idx="5">
                  <c:v>1.4597198102925633</c:v>
                </c:pt>
                <c:pt idx="6">
                  <c:v>1.4381503678520415</c:v>
                </c:pt>
                <c:pt idx="7">
                  <c:v>1.3129255441962309</c:v>
                </c:pt>
                <c:pt idx="8">
                  <c:v>1.1658363413983155</c:v>
                </c:pt>
                <c:pt idx="9">
                  <c:v>1.0734883493844567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1-44B9-8299-9193433E0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Gen'!$J$354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Gen'!$I$355:$I$364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Gen'!$J$355:$J$364</c:f>
              <c:numCache>
                <c:formatCode>0%</c:formatCode>
                <c:ptCount val="10"/>
                <c:pt idx="0">
                  <c:v>3.6996929431845742</c:v>
                </c:pt>
                <c:pt idx="1">
                  <c:v>3.7763498535042705</c:v>
                </c:pt>
                <c:pt idx="2">
                  <c:v>3.5978938936980374</c:v>
                </c:pt>
                <c:pt idx="3">
                  <c:v>3.7623376089588954</c:v>
                </c:pt>
                <c:pt idx="4">
                  <c:v>3.6662131796572863</c:v>
                </c:pt>
                <c:pt idx="5">
                  <c:v>3.4391955501135234</c:v>
                </c:pt>
                <c:pt idx="6">
                  <c:v>3.6418398030412011</c:v>
                </c:pt>
                <c:pt idx="7">
                  <c:v>3.6828555159073959</c:v>
                </c:pt>
                <c:pt idx="8">
                  <c:v>3.3492240619544056</c:v>
                </c:pt>
                <c:pt idx="9">
                  <c:v>2.2313749991417842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A-4F78-90DC-80D8DDB2010C}"/>
            </c:ext>
          </c:extLst>
        </c:ser>
        <c:ser>
          <c:idx val="1"/>
          <c:order val="1"/>
          <c:tx>
            <c:strRef>
              <c:f>'0.5 Seconds Traffic Gen'!$K$354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Gen'!$I$355:$I$364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Gen'!$K$355:$K$364</c:f>
              <c:numCache>
                <c:formatCode>0%</c:formatCode>
                <c:ptCount val="10"/>
                <c:pt idx="0">
                  <c:v>3.4459172731280292</c:v>
                </c:pt>
                <c:pt idx="1">
                  <c:v>3.3041220332677073</c:v>
                </c:pt>
                <c:pt idx="2">
                  <c:v>3.3531496056974013</c:v>
                </c:pt>
                <c:pt idx="3">
                  <c:v>3.4151077021331759</c:v>
                </c:pt>
                <c:pt idx="4">
                  <c:v>3.3070820403858203</c:v>
                </c:pt>
                <c:pt idx="5">
                  <c:v>3.2594187828034533</c:v>
                </c:pt>
                <c:pt idx="6">
                  <c:v>3.3310340020088778</c:v>
                </c:pt>
                <c:pt idx="7">
                  <c:v>3.3401681538805428</c:v>
                </c:pt>
                <c:pt idx="8">
                  <c:v>3.0501419174097641</c:v>
                </c:pt>
                <c:pt idx="9">
                  <c:v>2.4755202504617202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A-4F78-90DC-80D8DDB20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Gen'!$J$381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Gen'!$I$382:$I$391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Gen'!$J$382:$J$391</c:f>
              <c:numCache>
                <c:formatCode>0%</c:formatCode>
                <c:ptCount val="10"/>
                <c:pt idx="0">
                  <c:v>1.3938055735566621</c:v>
                </c:pt>
                <c:pt idx="1">
                  <c:v>1.3615128177670772</c:v>
                </c:pt>
                <c:pt idx="2">
                  <c:v>1.3470881847154668</c:v>
                </c:pt>
                <c:pt idx="3">
                  <c:v>1.4297210517166314</c:v>
                </c:pt>
                <c:pt idx="4">
                  <c:v>1.4009111926484874</c:v>
                </c:pt>
                <c:pt idx="5">
                  <c:v>1.3819850445823432</c:v>
                </c:pt>
                <c:pt idx="6">
                  <c:v>1.3468549871877851</c:v>
                </c:pt>
                <c:pt idx="7">
                  <c:v>1.3431312971335521</c:v>
                </c:pt>
                <c:pt idx="8">
                  <c:v>1.3657888921209305</c:v>
                </c:pt>
                <c:pt idx="9">
                  <c:v>1.1306578520373787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90-4961-9310-56927CE17827}"/>
            </c:ext>
          </c:extLst>
        </c:ser>
        <c:ser>
          <c:idx val="1"/>
          <c:order val="1"/>
          <c:tx>
            <c:strRef>
              <c:f>'0.5 Seconds Traffic Gen'!$K$381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Gen'!$I$382:$I$391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Gen'!$K$382:$K$391</c:f>
              <c:numCache>
                <c:formatCode>0%</c:formatCode>
                <c:ptCount val="10"/>
                <c:pt idx="0">
                  <c:v>1.2789398281687343</c:v>
                </c:pt>
                <c:pt idx="1">
                  <c:v>1.2589279945786653</c:v>
                </c:pt>
                <c:pt idx="2">
                  <c:v>1.2781935603195294</c:v>
                </c:pt>
                <c:pt idx="3">
                  <c:v>1.2869689084114058</c:v>
                </c:pt>
                <c:pt idx="4">
                  <c:v>1.2994152623179027</c:v>
                </c:pt>
                <c:pt idx="5">
                  <c:v>1.3113882228416953</c:v>
                </c:pt>
                <c:pt idx="6">
                  <c:v>1.2870347223984318</c:v>
                </c:pt>
                <c:pt idx="7">
                  <c:v>1.2472919383780363</c:v>
                </c:pt>
                <c:pt idx="8">
                  <c:v>1.2002175941241251</c:v>
                </c:pt>
                <c:pt idx="9">
                  <c:v>0.99820109006281521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0-4961-9310-56927CE17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Gen'!$J$408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Gen'!$I$409:$I$418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Gen'!$J$409:$J$418</c:f>
              <c:numCache>
                <c:formatCode>0%</c:formatCode>
                <c:ptCount val="10"/>
                <c:pt idx="0">
                  <c:v>1.9731325411410559</c:v>
                </c:pt>
                <c:pt idx="1">
                  <c:v>2.0042154919328534</c:v>
                </c:pt>
                <c:pt idx="2">
                  <c:v>1.948529042412471</c:v>
                </c:pt>
                <c:pt idx="3">
                  <c:v>2.152369453667371</c:v>
                </c:pt>
                <c:pt idx="4">
                  <c:v>2.1048298572996704</c:v>
                </c:pt>
                <c:pt idx="5">
                  <c:v>1.9774782978206757</c:v>
                </c:pt>
                <c:pt idx="6">
                  <c:v>2.0262049268118529</c:v>
                </c:pt>
                <c:pt idx="7">
                  <c:v>1.9630652181733155</c:v>
                </c:pt>
                <c:pt idx="8">
                  <c:v>2.0989788564315193</c:v>
                </c:pt>
                <c:pt idx="9">
                  <c:v>2.0228128557667047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6-423A-AF05-756D249FE911}"/>
            </c:ext>
          </c:extLst>
        </c:ser>
        <c:ser>
          <c:idx val="1"/>
          <c:order val="1"/>
          <c:tx>
            <c:strRef>
              <c:f>'0.5 Seconds Traffic Gen'!$K$408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Gen'!$I$409:$I$418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Gen'!$K$409:$K$418</c:f>
              <c:numCache>
                <c:formatCode>0%</c:formatCode>
                <c:ptCount val="10"/>
                <c:pt idx="0">
                  <c:v>1.7940577263693587</c:v>
                </c:pt>
                <c:pt idx="1">
                  <c:v>1.8708252829147118</c:v>
                </c:pt>
                <c:pt idx="2">
                  <c:v>1.8476215193476551</c:v>
                </c:pt>
                <c:pt idx="3">
                  <c:v>1.8438100987452029</c:v>
                </c:pt>
                <c:pt idx="4">
                  <c:v>1.9352017014270029</c:v>
                </c:pt>
                <c:pt idx="5">
                  <c:v>1.9360598728655547</c:v>
                </c:pt>
                <c:pt idx="6">
                  <c:v>2.0383523741520881</c:v>
                </c:pt>
                <c:pt idx="7">
                  <c:v>1.9728677290550019</c:v>
                </c:pt>
                <c:pt idx="8">
                  <c:v>1.8014526258646024</c:v>
                </c:pt>
                <c:pt idx="9">
                  <c:v>1.8265132275553499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6-423A-AF05-756D249FE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Gen'!$J$435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Gen'!$I$436:$I$445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Gen'!$J$436:$J$445</c:f>
              <c:numCache>
                <c:formatCode>0%</c:formatCode>
                <c:ptCount val="10"/>
                <c:pt idx="0">
                  <c:v>0.2953337602285403</c:v>
                </c:pt>
                <c:pt idx="1">
                  <c:v>0.31283515530846889</c:v>
                </c:pt>
                <c:pt idx="2">
                  <c:v>0.33964399037619264</c:v>
                </c:pt>
                <c:pt idx="3">
                  <c:v>0.34877114435833018</c:v>
                </c:pt>
                <c:pt idx="4">
                  <c:v>0.3383434824149581</c:v>
                </c:pt>
                <c:pt idx="5">
                  <c:v>0.35215947679335324</c:v>
                </c:pt>
                <c:pt idx="6">
                  <c:v>0.35815297889386538</c:v>
                </c:pt>
                <c:pt idx="7">
                  <c:v>0.38457869323540389</c:v>
                </c:pt>
                <c:pt idx="8">
                  <c:v>0.43651713175059126</c:v>
                </c:pt>
                <c:pt idx="9">
                  <c:v>0.57596203971754678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6-419E-B3AB-54A7EFD5A58F}"/>
            </c:ext>
          </c:extLst>
        </c:ser>
        <c:ser>
          <c:idx val="1"/>
          <c:order val="1"/>
          <c:tx>
            <c:strRef>
              <c:f>'0.5 Seconds Traffic Gen'!$K$435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Gen'!$I$436:$I$445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Gen'!$K$436:$K$445</c:f>
              <c:numCache>
                <c:formatCode>0%</c:formatCode>
                <c:ptCount val="10"/>
                <c:pt idx="0">
                  <c:v>0.30612378502855242</c:v>
                </c:pt>
                <c:pt idx="1">
                  <c:v>0.28831685645640875</c:v>
                </c:pt>
                <c:pt idx="2">
                  <c:v>0.34854276822829849</c:v>
                </c:pt>
                <c:pt idx="3">
                  <c:v>0.34664264339353373</c:v>
                </c:pt>
                <c:pt idx="4">
                  <c:v>0.35559250535127729</c:v>
                </c:pt>
                <c:pt idx="5">
                  <c:v>0.36592330049944588</c:v>
                </c:pt>
                <c:pt idx="6">
                  <c:v>0.36419805113242082</c:v>
                </c:pt>
                <c:pt idx="7">
                  <c:v>0.40182359540228912</c:v>
                </c:pt>
                <c:pt idx="8">
                  <c:v>0.50672440843493016</c:v>
                </c:pt>
                <c:pt idx="9">
                  <c:v>0.53694564635168895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6-419E-B3AB-54A7EFD5A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'0.1 Seconds Traffic Gen'!$J$462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'0.1 Seconds Traffic Gen'!$I$463:$I$472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Gen'!$J$463:$J$472</c:f>
              <c:numCache>
                <c:formatCode>0%</c:formatCode>
                <c:ptCount val="10"/>
                <c:pt idx="0">
                  <c:v>0.16405929145027542</c:v>
                </c:pt>
                <c:pt idx="1">
                  <c:v>0.15706538481658663</c:v>
                </c:pt>
                <c:pt idx="2">
                  <c:v>0.23250799790777157</c:v>
                </c:pt>
                <c:pt idx="3">
                  <c:v>0.20021273089541711</c:v>
                </c:pt>
                <c:pt idx="4">
                  <c:v>0.17781802841996888</c:v>
                </c:pt>
                <c:pt idx="5">
                  <c:v>0.14730102257198049</c:v>
                </c:pt>
                <c:pt idx="6">
                  <c:v>0.12798823536444653</c:v>
                </c:pt>
                <c:pt idx="7">
                  <c:v>0.19525681947849682</c:v>
                </c:pt>
                <c:pt idx="8">
                  <c:v>0.38520490921296491</c:v>
                </c:pt>
                <c:pt idx="9">
                  <c:v>0.25047400236443529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F-4BF7-9103-8D67238728D3}"/>
            </c:ext>
          </c:extLst>
        </c:ser>
        <c:ser>
          <c:idx val="1"/>
          <c:order val="1"/>
          <c:tx>
            <c:strRef>
              <c:f>'0.1 Seconds Traffic Gen'!$K$462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'0.1 Seconds Traffic Gen'!$I$463:$I$472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'0.1 Seconds Traffic Gen'!$K$463:$K$472</c:f>
              <c:numCache>
                <c:formatCode>0%</c:formatCode>
                <c:ptCount val="10"/>
                <c:pt idx="0">
                  <c:v>0.15063162463117613</c:v>
                </c:pt>
                <c:pt idx="1">
                  <c:v>0.1630086664380416</c:v>
                </c:pt>
                <c:pt idx="2">
                  <c:v>0.17808573270566475</c:v>
                </c:pt>
                <c:pt idx="3">
                  <c:v>0.23295531153091334</c:v>
                </c:pt>
                <c:pt idx="4">
                  <c:v>0.18339641343178362</c:v>
                </c:pt>
                <c:pt idx="5">
                  <c:v>0.17497997266858284</c:v>
                </c:pt>
                <c:pt idx="6">
                  <c:v>0.17574918849122131</c:v>
                </c:pt>
                <c:pt idx="7">
                  <c:v>0.24247891320102996</c:v>
                </c:pt>
                <c:pt idx="8">
                  <c:v>0.30150353480035852</c:v>
                </c:pt>
                <c:pt idx="9">
                  <c:v>0.25027324842185089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F-4BF7-9103-8D6723872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Gen'!$J$489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Gen'!$I$490:$I$499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Gen'!$J$490:$J$499</c:f>
              <c:numCache>
                <c:formatCode>0%</c:formatCode>
                <c:ptCount val="10"/>
                <c:pt idx="0">
                  <c:v>4.3086823374463498E-2</c:v>
                </c:pt>
                <c:pt idx="1">
                  <c:v>4.5461992445588788E-2</c:v>
                </c:pt>
                <c:pt idx="2">
                  <c:v>6.5435127405871152E-2</c:v>
                </c:pt>
                <c:pt idx="3">
                  <c:v>6.986809208450255E-2</c:v>
                </c:pt>
                <c:pt idx="4">
                  <c:v>9.2200415805743688E-2</c:v>
                </c:pt>
                <c:pt idx="5">
                  <c:v>7.7858700606883269E-2</c:v>
                </c:pt>
                <c:pt idx="6">
                  <c:v>9.6024606353823427E-2</c:v>
                </c:pt>
                <c:pt idx="7">
                  <c:v>0.10883441707525005</c:v>
                </c:pt>
                <c:pt idx="8">
                  <c:v>0.23401076693729222</c:v>
                </c:pt>
                <c:pt idx="9">
                  <c:v>0.25168280638864488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6-451C-BDBF-13BB9B1871D2}"/>
            </c:ext>
          </c:extLst>
        </c:ser>
        <c:ser>
          <c:idx val="1"/>
          <c:order val="1"/>
          <c:tx>
            <c:strRef>
              <c:f>'0.5 Seconds Traffic Gen'!$K$489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Gen'!$I$490:$I$499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Gen'!$K$490:$K$499</c:f>
              <c:numCache>
                <c:formatCode>0%</c:formatCode>
                <c:ptCount val="10"/>
                <c:pt idx="0">
                  <c:v>6.377222619295031E-2</c:v>
                </c:pt>
                <c:pt idx="1">
                  <c:v>6.6008452706025761E-2</c:v>
                </c:pt>
                <c:pt idx="2">
                  <c:v>8.4645697420655405E-2</c:v>
                </c:pt>
                <c:pt idx="3">
                  <c:v>7.9323820181936497E-2</c:v>
                </c:pt>
                <c:pt idx="4">
                  <c:v>0.11389838900048065</c:v>
                </c:pt>
                <c:pt idx="5">
                  <c:v>9.3750026246674209E-2</c:v>
                </c:pt>
                <c:pt idx="6">
                  <c:v>0.10265261718770423</c:v>
                </c:pt>
                <c:pt idx="7">
                  <c:v>0.13543741129446077</c:v>
                </c:pt>
                <c:pt idx="8">
                  <c:v>0.27260997489483496</c:v>
                </c:pt>
                <c:pt idx="9">
                  <c:v>0.31065168481622746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6-451C-BDBF-13BB9B187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Gen'!$J$516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Gen'!$I$517:$I$526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Gen'!$J$517:$J$526</c:f>
              <c:numCache>
                <c:formatCode>0%</c:formatCode>
                <c:ptCount val="10"/>
                <c:pt idx="0">
                  <c:v>0.14007773698985101</c:v>
                </c:pt>
                <c:pt idx="1">
                  <c:v>0.12706306900404815</c:v>
                </c:pt>
                <c:pt idx="2">
                  <c:v>0.13327319667796814</c:v>
                </c:pt>
                <c:pt idx="3">
                  <c:v>0.10959884286911951</c:v>
                </c:pt>
                <c:pt idx="4">
                  <c:v>9.4072728965870461E-2</c:v>
                </c:pt>
                <c:pt idx="5">
                  <c:v>0.14233840316126067</c:v>
                </c:pt>
                <c:pt idx="6">
                  <c:v>9.6580082854929944E-2</c:v>
                </c:pt>
                <c:pt idx="7">
                  <c:v>0.10621325569361403</c:v>
                </c:pt>
                <c:pt idx="8">
                  <c:v>0.31932173189647789</c:v>
                </c:pt>
                <c:pt idx="9">
                  <c:v>2.3168393433799745E-2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3-4BD5-A582-D89A7A8FA877}"/>
            </c:ext>
          </c:extLst>
        </c:ser>
        <c:ser>
          <c:idx val="1"/>
          <c:order val="1"/>
          <c:tx>
            <c:strRef>
              <c:f>'0.5 Seconds Traffic Gen'!$K$516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Gen'!$I$517:$I$526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Gen'!$K$517:$K$526</c:f>
              <c:numCache>
                <c:formatCode>0%</c:formatCode>
                <c:ptCount val="10"/>
                <c:pt idx="0">
                  <c:v>0.17902643674615168</c:v>
                </c:pt>
                <c:pt idx="1">
                  <c:v>0.1886727360431816</c:v>
                </c:pt>
                <c:pt idx="2">
                  <c:v>0.2086223521726959</c:v>
                </c:pt>
                <c:pt idx="3">
                  <c:v>9.7834064729311845E-2</c:v>
                </c:pt>
                <c:pt idx="4">
                  <c:v>0.13452530614145378</c:v>
                </c:pt>
                <c:pt idx="5">
                  <c:v>0.1685859137940782</c:v>
                </c:pt>
                <c:pt idx="6">
                  <c:v>0.14430464553087377</c:v>
                </c:pt>
                <c:pt idx="7">
                  <c:v>0.17746058267196185</c:v>
                </c:pt>
                <c:pt idx="8">
                  <c:v>0.36441275469716589</c:v>
                </c:pt>
                <c:pt idx="9">
                  <c:v>5.4721138320774944E-2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23-4BD5-A582-D89A7A8FA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Gen'!$J$547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Gen'!$I$548:$I$557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Gen'!$J$548:$J$557</c:f>
              <c:numCache>
                <c:formatCode>0.000%</c:formatCode>
                <c:ptCount val="10"/>
                <c:pt idx="0">
                  <c:v>2.1624717374427657E-3</c:v>
                </c:pt>
                <c:pt idx="1">
                  <c:v>2.7983323339580762E-3</c:v>
                </c:pt>
                <c:pt idx="2">
                  <c:v>3.0429316777563155E-3</c:v>
                </c:pt>
                <c:pt idx="3">
                  <c:v>1.8896267296787312E-3</c:v>
                </c:pt>
                <c:pt idx="4">
                  <c:v>2.5988126569383989E-3</c:v>
                </c:pt>
                <c:pt idx="5">
                  <c:v>3.261415622618349E-3</c:v>
                </c:pt>
                <c:pt idx="6">
                  <c:v>2.8001959077428406E-3</c:v>
                </c:pt>
                <c:pt idx="7">
                  <c:v>1.4982691207233087E-3</c:v>
                </c:pt>
                <c:pt idx="8">
                  <c:v>3.9271972507953778E-3</c:v>
                </c:pt>
                <c:pt idx="9">
                  <c:v>7.4679695311232974E-2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F-4C38-8048-419568A985A4}"/>
            </c:ext>
          </c:extLst>
        </c:ser>
        <c:ser>
          <c:idx val="1"/>
          <c:order val="1"/>
          <c:tx>
            <c:strRef>
              <c:f>'0.5 Seconds Traffic Gen'!$K$547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Gen'!$I$548:$I$557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Gen'!$K$548:$K$557</c:f>
              <c:numCache>
                <c:formatCode>0.000%</c:formatCode>
                <c:ptCount val="10"/>
                <c:pt idx="0">
                  <c:v>4.4960547949819234E-3</c:v>
                </c:pt>
                <c:pt idx="1">
                  <c:v>1.485144352915669E-3</c:v>
                </c:pt>
                <c:pt idx="2">
                  <c:v>2.703102585699532E-3</c:v>
                </c:pt>
                <c:pt idx="3">
                  <c:v>3.6167531490749376E-3</c:v>
                </c:pt>
                <c:pt idx="4">
                  <c:v>1.1471552600971617E-3</c:v>
                </c:pt>
                <c:pt idx="5">
                  <c:v>3.9710006492907355E-3</c:v>
                </c:pt>
                <c:pt idx="6">
                  <c:v>2.2354668321497317E-3</c:v>
                </c:pt>
                <c:pt idx="7">
                  <c:v>-1.0143766395513088E-3</c:v>
                </c:pt>
                <c:pt idx="8">
                  <c:v>3.7690619129750599E-3</c:v>
                </c:pt>
                <c:pt idx="9">
                  <c:v>8.5868657324962516E-2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BF-4C38-8048-419568A98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Gen'!$J$574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Gen'!$I$575:$I$584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Gen'!$J$575:$J$584</c:f>
              <c:numCache>
                <c:formatCode>0%</c:formatCode>
                <c:ptCount val="10"/>
                <c:pt idx="0">
                  <c:v>2.7170138179559884E-2</c:v>
                </c:pt>
                <c:pt idx="1">
                  <c:v>7.6135776140623126E-2</c:v>
                </c:pt>
                <c:pt idx="2">
                  <c:v>0.11215797828034388</c:v>
                </c:pt>
                <c:pt idx="3">
                  <c:v>6.2086998983987923E-2</c:v>
                </c:pt>
                <c:pt idx="4">
                  <c:v>0.12459578711958648</c:v>
                </c:pt>
                <c:pt idx="5">
                  <c:v>0.1088760770400404</c:v>
                </c:pt>
                <c:pt idx="6">
                  <c:v>0.1033596120732921</c:v>
                </c:pt>
                <c:pt idx="7">
                  <c:v>6.3457314658121183E-2</c:v>
                </c:pt>
                <c:pt idx="8">
                  <c:v>9.6738654404116706E-2</c:v>
                </c:pt>
                <c:pt idx="9">
                  <c:v>0.39740510929954825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C-4A0E-B422-F96F2A50441E}"/>
            </c:ext>
          </c:extLst>
        </c:ser>
        <c:ser>
          <c:idx val="1"/>
          <c:order val="1"/>
          <c:tx>
            <c:strRef>
              <c:f>'0.5 Seconds Traffic Gen'!$K$574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Gen'!$I$575:$I$584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Gen'!$K$575:$K$584</c:f>
              <c:numCache>
                <c:formatCode>0%</c:formatCode>
                <c:ptCount val="10"/>
                <c:pt idx="0">
                  <c:v>0.11223514222443766</c:v>
                </c:pt>
                <c:pt idx="1">
                  <c:v>3.3588600232648452E-2</c:v>
                </c:pt>
                <c:pt idx="2">
                  <c:v>6.7139197535714817E-2</c:v>
                </c:pt>
                <c:pt idx="3">
                  <c:v>7.9729378499925119E-2</c:v>
                </c:pt>
                <c:pt idx="4">
                  <c:v>8.8020187977877709E-2</c:v>
                </c:pt>
                <c:pt idx="5">
                  <c:v>0.16643436391282301</c:v>
                </c:pt>
                <c:pt idx="6">
                  <c:v>0.1017226602012215</c:v>
                </c:pt>
                <c:pt idx="7">
                  <c:v>8.281424404997708E-3</c:v>
                </c:pt>
                <c:pt idx="8">
                  <c:v>4.5587671757814571E-2</c:v>
                </c:pt>
                <c:pt idx="9">
                  <c:v>0.50216781764369911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C-4A0E-B422-F96F2A504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Gen'!$J$601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Gen'!$I$602:$I$611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Gen'!$J$602:$J$611</c:f>
              <c:numCache>
                <c:formatCode>0%</c:formatCode>
                <c:ptCount val="10"/>
                <c:pt idx="0">
                  <c:v>1.2420259682999155E-2</c:v>
                </c:pt>
                <c:pt idx="1">
                  <c:v>1.0849601575072408E-2</c:v>
                </c:pt>
                <c:pt idx="2">
                  <c:v>1.1370174332396586E-2</c:v>
                </c:pt>
                <c:pt idx="3">
                  <c:v>9.6177011070476166E-3</c:v>
                </c:pt>
                <c:pt idx="4">
                  <c:v>8.4620309018169221E-3</c:v>
                </c:pt>
                <c:pt idx="5">
                  <c:v>1.1488213263422057E-2</c:v>
                </c:pt>
                <c:pt idx="6">
                  <c:v>1.1864012969954343E-2</c:v>
                </c:pt>
                <c:pt idx="7">
                  <c:v>1.0186762647339326E-2</c:v>
                </c:pt>
                <c:pt idx="8">
                  <c:v>8.287368610998963E-3</c:v>
                </c:pt>
                <c:pt idx="9">
                  <c:v>0.14818932607153187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9-4D87-A774-2207A9976542}"/>
            </c:ext>
          </c:extLst>
        </c:ser>
        <c:ser>
          <c:idx val="1"/>
          <c:order val="1"/>
          <c:tx>
            <c:strRef>
              <c:f>'0.5 Seconds Traffic Gen'!$K$601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Gen'!$I$602:$I$611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Gen'!$K$602:$K$611</c:f>
              <c:numCache>
                <c:formatCode>0%</c:formatCode>
                <c:ptCount val="10"/>
                <c:pt idx="0">
                  <c:v>1.0095257596459278E-2</c:v>
                </c:pt>
                <c:pt idx="1">
                  <c:v>1.3373050908900746E-2</c:v>
                </c:pt>
                <c:pt idx="2">
                  <c:v>1.2549008243375648E-2</c:v>
                </c:pt>
                <c:pt idx="3">
                  <c:v>1.1730602197391698E-2</c:v>
                </c:pt>
                <c:pt idx="4">
                  <c:v>8.3424885796198108E-3</c:v>
                </c:pt>
                <c:pt idx="5">
                  <c:v>1.1455946082317021E-2</c:v>
                </c:pt>
                <c:pt idx="6">
                  <c:v>1.061217474265219E-2</c:v>
                </c:pt>
                <c:pt idx="7">
                  <c:v>1.1267497956052431E-2</c:v>
                </c:pt>
                <c:pt idx="8">
                  <c:v>8.6025945748894397E-3</c:v>
                </c:pt>
                <c:pt idx="9">
                  <c:v>0.15749377292945743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9-4D87-A774-2207A9976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Gen'!$J$628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Gen'!$I$629:$I$638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Gen'!$J$629:$J$638</c:f>
              <c:numCache>
                <c:formatCode>0%</c:formatCode>
                <c:ptCount val="10"/>
                <c:pt idx="0">
                  <c:v>0.15887187663212293</c:v>
                </c:pt>
                <c:pt idx="1">
                  <c:v>0.11858693417307831</c:v>
                </c:pt>
                <c:pt idx="2">
                  <c:v>0.15678963022151193</c:v>
                </c:pt>
                <c:pt idx="3">
                  <c:v>0.12432291610129938</c:v>
                </c:pt>
                <c:pt idx="4">
                  <c:v>0.10896817223549211</c:v>
                </c:pt>
                <c:pt idx="5">
                  <c:v>0.15005955183779729</c:v>
                </c:pt>
                <c:pt idx="6">
                  <c:v>0.15529724233348721</c:v>
                </c:pt>
                <c:pt idx="7">
                  <c:v>0.12258992652991881</c:v>
                </c:pt>
                <c:pt idx="8">
                  <c:v>0.11777846694034584</c:v>
                </c:pt>
                <c:pt idx="9">
                  <c:v>0.58125146415140871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A2-47D7-92D4-60EFF1ABFB46}"/>
            </c:ext>
          </c:extLst>
        </c:ser>
        <c:ser>
          <c:idx val="1"/>
          <c:order val="1"/>
          <c:tx>
            <c:strRef>
              <c:f>'0.5 Seconds Traffic Gen'!$K$628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Gen'!$I$629:$I$638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Gen'!$K$629:$K$638</c:f>
              <c:numCache>
                <c:formatCode>0%</c:formatCode>
                <c:ptCount val="10"/>
                <c:pt idx="0">
                  <c:v>0.14230187745677436</c:v>
                </c:pt>
                <c:pt idx="1">
                  <c:v>0.14328690928372781</c:v>
                </c:pt>
                <c:pt idx="2">
                  <c:v>0.17375815687841256</c:v>
                </c:pt>
                <c:pt idx="3">
                  <c:v>0.1348251793797422</c:v>
                </c:pt>
                <c:pt idx="4">
                  <c:v>0.12310006631907564</c:v>
                </c:pt>
                <c:pt idx="5">
                  <c:v>0.15708943855081289</c:v>
                </c:pt>
                <c:pt idx="6">
                  <c:v>0.15389146029082471</c:v>
                </c:pt>
                <c:pt idx="7">
                  <c:v>0.13299995753174501</c:v>
                </c:pt>
                <c:pt idx="8">
                  <c:v>0.12456438209275308</c:v>
                </c:pt>
                <c:pt idx="9">
                  <c:v>0.59170704642130567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A2-47D7-92D4-60EFF1ABF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Gen'!$J$655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Gen'!$I$656:$I$665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Gen'!$J$656:$J$665</c:f>
              <c:numCache>
                <c:formatCode>0%</c:formatCode>
                <c:ptCount val="10"/>
                <c:pt idx="0">
                  <c:v>2.9415642405021255E-2</c:v>
                </c:pt>
                <c:pt idx="1">
                  <c:v>2.6893622466237128E-2</c:v>
                </c:pt>
                <c:pt idx="2">
                  <c:v>3.4345630266863866E-2</c:v>
                </c:pt>
                <c:pt idx="3">
                  <c:v>2.6858221546045453E-2</c:v>
                </c:pt>
                <c:pt idx="4">
                  <c:v>3.5111099677363179E-2</c:v>
                </c:pt>
                <c:pt idx="5">
                  <c:v>2.8164168059383203E-2</c:v>
                </c:pt>
                <c:pt idx="6">
                  <c:v>2.6320047313167644E-2</c:v>
                </c:pt>
                <c:pt idx="7">
                  <c:v>2.3325131639473598E-2</c:v>
                </c:pt>
                <c:pt idx="8">
                  <c:v>2.0040111594868539E-2</c:v>
                </c:pt>
                <c:pt idx="9">
                  <c:v>0.26182923927188156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F-4FB2-AB37-F6C7040D0FCD}"/>
            </c:ext>
          </c:extLst>
        </c:ser>
        <c:ser>
          <c:idx val="1"/>
          <c:order val="1"/>
          <c:tx>
            <c:strRef>
              <c:f>'0.5 Seconds Traffic Gen'!$K$655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Gen'!$I$656:$I$665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Gen'!$K$656:$K$665</c:f>
              <c:numCache>
                <c:formatCode>0%</c:formatCode>
                <c:ptCount val="10"/>
                <c:pt idx="0">
                  <c:v>3.6099519152318446E-2</c:v>
                </c:pt>
                <c:pt idx="1">
                  <c:v>2.7918083795886131E-2</c:v>
                </c:pt>
                <c:pt idx="2">
                  <c:v>3.4141997420073844E-2</c:v>
                </c:pt>
                <c:pt idx="3">
                  <c:v>2.6624404807445781E-2</c:v>
                </c:pt>
                <c:pt idx="4">
                  <c:v>3.2428195706681318E-2</c:v>
                </c:pt>
                <c:pt idx="5">
                  <c:v>3.0772290256616611E-2</c:v>
                </c:pt>
                <c:pt idx="6">
                  <c:v>2.3192476364127426E-2</c:v>
                </c:pt>
                <c:pt idx="7">
                  <c:v>2.0801927066386568E-2</c:v>
                </c:pt>
                <c:pt idx="8">
                  <c:v>2.0905821044090576E-2</c:v>
                </c:pt>
                <c:pt idx="9">
                  <c:v>0.26235021233384292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F-4FB2-AB37-F6C7040D0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Gen'!$J$682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Gen'!$I$683:$I$692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Gen'!$J$683:$J$692</c:f>
              <c:numCache>
                <c:formatCode>0%</c:formatCode>
                <c:ptCount val="10"/>
                <c:pt idx="0">
                  <c:v>0.23896710740142346</c:v>
                </c:pt>
                <c:pt idx="1">
                  <c:v>0.27288930581613502</c:v>
                </c:pt>
                <c:pt idx="2">
                  <c:v>0.31735300047354925</c:v>
                </c:pt>
                <c:pt idx="3">
                  <c:v>0.21396095586011135</c:v>
                </c:pt>
                <c:pt idx="4">
                  <c:v>0.30172517627002438</c:v>
                </c:pt>
                <c:pt idx="5">
                  <c:v>0.23676374529810559</c:v>
                </c:pt>
                <c:pt idx="6">
                  <c:v>0.21627414840603446</c:v>
                </c:pt>
                <c:pt idx="7">
                  <c:v>0.24730983721297789</c:v>
                </c:pt>
                <c:pt idx="8">
                  <c:v>0.18255172021907584</c:v>
                </c:pt>
                <c:pt idx="9">
                  <c:v>0.68232959815116068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E-49F9-B5B8-3D23D27871A5}"/>
            </c:ext>
          </c:extLst>
        </c:ser>
        <c:ser>
          <c:idx val="1"/>
          <c:order val="1"/>
          <c:tx>
            <c:strRef>
              <c:f>'0.5 Seconds Traffic Gen'!$K$682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Gen'!$I$683:$I$692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Gen'!$K$683:$K$692</c:f>
              <c:numCache>
                <c:formatCode>0%</c:formatCode>
                <c:ptCount val="10"/>
                <c:pt idx="0">
                  <c:v>0.29432351846705318</c:v>
                </c:pt>
                <c:pt idx="1">
                  <c:v>0.30113039399624764</c:v>
                </c:pt>
                <c:pt idx="2">
                  <c:v>0.3268146078215331</c:v>
                </c:pt>
                <c:pt idx="3">
                  <c:v>0.25850571235777287</c:v>
                </c:pt>
                <c:pt idx="4">
                  <c:v>0.2928445025062309</c:v>
                </c:pt>
                <c:pt idx="5">
                  <c:v>0.2196004234520349</c:v>
                </c:pt>
                <c:pt idx="6">
                  <c:v>0.20384554122010598</c:v>
                </c:pt>
                <c:pt idx="7">
                  <c:v>0.18525659840599673</c:v>
                </c:pt>
                <c:pt idx="8">
                  <c:v>0.2019722089877129</c:v>
                </c:pt>
                <c:pt idx="9">
                  <c:v>0.63631387693664365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E-49F9-B5B8-3D23D2787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Gen'!$J$709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Gen'!$I$710:$I$719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Gen'!$J$710:$J$719</c:f>
              <c:numCache>
                <c:formatCode>0%</c:formatCode>
                <c:ptCount val="10"/>
                <c:pt idx="0">
                  <c:v>6.342305815308022E-2</c:v>
                </c:pt>
                <c:pt idx="1">
                  <c:v>5.8878927308558648E-2</c:v>
                </c:pt>
                <c:pt idx="2">
                  <c:v>5.8448201928733817E-2</c:v>
                </c:pt>
                <c:pt idx="3">
                  <c:v>5.3593267520364612E-2</c:v>
                </c:pt>
                <c:pt idx="4">
                  <c:v>5.7107421191753778E-2</c:v>
                </c:pt>
                <c:pt idx="5">
                  <c:v>6.3306833713619406E-2</c:v>
                </c:pt>
                <c:pt idx="6">
                  <c:v>5.3950267576366132E-2</c:v>
                </c:pt>
                <c:pt idx="7">
                  <c:v>4.5416187555116561E-2</c:v>
                </c:pt>
                <c:pt idx="8">
                  <c:v>3.7383187067160727E-2</c:v>
                </c:pt>
                <c:pt idx="9">
                  <c:v>0.37334697142296003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D-4D55-B89D-1C488C68461C}"/>
            </c:ext>
          </c:extLst>
        </c:ser>
        <c:ser>
          <c:idx val="1"/>
          <c:order val="1"/>
          <c:tx>
            <c:strRef>
              <c:f>'0.5 Seconds Traffic Gen'!$K$709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Gen'!$I$710:$I$719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Gen'!$K$710:$K$719</c:f>
              <c:numCache>
                <c:formatCode>0%</c:formatCode>
                <c:ptCount val="10"/>
                <c:pt idx="0">
                  <c:v>6.2572033105180183E-2</c:v>
                </c:pt>
                <c:pt idx="1">
                  <c:v>6.381111814527142E-2</c:v>
                </c:pt>
                <c:pt idx="2">
                  <c:v>6.5133463659238708E-2</c:v>
                </c:pt>
                <c:pt idx="3">
                  <c:v>5.485395423981948E-2</c:v>
                </c:pt>
                <c:pt idx="4">
                  <c:v>5.9335171180373035E-2</c:v>
                </c:pt>
                <c:pt idx="5">
                  <c:v>5.9406459067316564E-2</c:v>
                </c:pt>
                <c:pt idx="6">
                  <c:v>5.5358715148590004E-2</c:v>
                </c:pt>
                <c:pt idx="7">
                  <c:v>4.2762660108478193E-2</c:v>
                </c:pt>
                <c:pt idx="8">
                  <c:v>3.8662342188055011E-2</c:v>
                </c:pt>
                <c:pt idx="9">
                  <c:v>0.34040019383145376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D-4D55-B89D-1C488C684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Gen'!$J$736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Gen'!$I$737:$I$746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Gen'!$J$737:$J$746</c:f>
              <c:numCache>
                <c:formatCode>0%</c:formatCode>
                <c:ptCount val="10"/>
                <c:pt idx="0">
                  <c:v>0.42008648983215124</c:v>
                </c:pt>
                <c:pt idx="1">
                  <c:v>0.35660763472820928</c:v>
                </c:pt>
                <c:pt idx="2">
                  <c:v>0.39618484793664194</c:v>
                </c:pt>
                <c:pt idx="3">
                  <c:v>0.36006433111145564</c:v>
                </c:pt>
                <c:pt idx="4">
                  <c:v>0.36599308854944013</c:v>
                </c:pt>
                <c:pt idx="5">
                  <c:v>0.40195302921238113</c:v>
                </c:pt>
                <c:pt idx="6">
                  <c:v>0.33708759772423558</c:v>
                </c:pt>
                <c:pt idx="7">
                  <c:v>0.31356219926711915</c:v>
                </c:pt>
                <c:pt idx="8">
                  <c:v>0.27591703569074227</c:v>
                </c:pt>
                <c:pt idx="9">
                  <c:v>0.83786448024159144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A-4F88-B359-9CFAD7359748}"/>
            </c:ext>
          </c:extLst>
        </c:ser>
        <c:ser>
          <c:idx val="1"/>
          <c:order val="1"/>
          <c:tx>
            <c:strRef>
              <c:f>'0.5 Seconds Traffic Gen'!$K$736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Gen'!$I$737:$I$746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Gen'!$K$737:$K$746</c:f>
              <c:numCache>
                <c:formatCode>0%</c:formatCode>
                <c:ptCount val="10"/>
                <c:pt idx="0">
                  <c:v>0.41825815016003076</c:v>
                </c:pt>
                <c:pt idx="1">
                  <c:v>0.35693054669384833</c:v>
                </c:pt>
                <c:pt idx="2">
                  <c:v>0.440250055277493</c:v>
                </c:pt>
                <c:pt idx="3">
                  <c:v>0.35498759882188807</c:v>
                </c:pt>
                <c:pt idx="4">
                  <c:v>0.38280505123243458</c:v>
                </c:pt>
                <c:pt idx="5">
                  <c:v>0.33887311242772061</c:v>
                </c:pt>
                <c:pt idx="6">
                  <c:v>0.37402075714777272</c:v>
                </c:pt>
                <c:pt idx="7">
                  <c:v>0.29081479342358418</c:v>
                </c:pt>
                <c:pt idx="8">
                  <c:v>0.23192092394441738</c:v>
                </c:pt>
                <c:pt idx="9">
                  <c:v>0.80800976380663281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A-4F88-B359-9CFAD7359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Gen'!$J$763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Gen'!$I$764:$I$773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Gen'!$J$764:$J$773</c:f>
              <c:numCache>
                <c:formatCode>0%</c:formatCode>
                <c:ptCount val="10"/>
                <c:pt idx="0">
                  <c:v>0.13081424501508743</c:v>
                </c:pt>
                <c:pt idx="1">
                  <c:v>0.13218120023295213</c:v>
                </c:pt>
                <c:pt idx="2">
                  <c:v>0.11600510799511264</c:v>
                </c:pt>
                <c:pt idx="3">
                  <c:v>0.1272907159109761</c:v>
                </c:pt>
                <c:pt idx="4">
                  <c:v>0.11385346991022111</c:v>
                </c:pt>
                <c:pt idx="5">
                  <c:v>0.12024134864221245</c:v>
                </c:pt>
                <c:pt idx="6">
                  <c:v>0.11083240212887834</c:v>
                </c:pt>
                <c:pt idx="7">
                  <c:v>0.100499620453273</c:v>
                </c:pt>
                <c:pt idx="8">
                  <c:v>8.4155484987529963E-2</c:v>
                </c:pt>
                <c:pt idx="9">
                  <c:v>0.47540157908560982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2-45A7-9FB3-004E1995EADF}"/>
            </c:ext>
          </c:extLst>
        </c:ser>
        <c:ser>
          <c:idx val="1"/>
          <c:order val="1"/>
          <c:tx>
            <c:strRef>
              <c:f>'0.5 Seconds Traffic Gen'!$K$763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Gen'!$I$764:$I$773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Gen'!$K$764:$K$773</c:f>
              <c:numCache>
                <c:formatCode>0%</c:formatCode>
                <c:ptCount val="10"/>
                <c:pt idx="0">
                  <c:v>0.1324556795224669</c:v>
                </c:pt>
                <c:pt idx="1">
                  <c:v>0.12262929620741791</c:v>
                </c:pt>
                <c:pt idx="2">
                  <c:v>0.1338085306896786</c:v>
                </c:pt>
                <c:pt idx="3">
                  <c:v>0.11711431744629683</c:v>
                </c:pt>
                <c:pt idx="4">
                  <c:v>0.11709114192153253</c:v>
                </c:pt>
                <c:pt idx="5">
                  <c:v>0.11491862786280824</c:v>
                </c:pt>
                <c:pt idx="6">
                  <c:v>0.12113372779233494</c:v>
                </c:pt>
                <c:pt idx="7">
                  <c:v>0.10371369615612409</c:v>
                </c:pt>
                <c:pt idx="8">
                  <c:v>7.4853464503113573E-2</c:v>
                </c:pt>
                <c:pt idx="9">
                  <c:v>0.49251439474729064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2-45A7-9FB3-004E1995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Gen'!$J$790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Gen'!$I$791:$I$800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Gen'!$J$791:$J$800</c:f>
              <c:numCache>
                <c:formatCode>0%</c:formatCode>
                <c:ptCount val="10"/>
                <c:pt idx="0">
                  <c:v>0.63396566071701521</c:v>
                </c:pt>
                <c:pt idx="1">
                  <c:v>0.56820196185828808</c:v>
                </c:pt>
                <c:pt idx="2">
                  <c:v>0.57160538147255402</c:v>
                </c:pt>
                <c:pt idx="3">
                  <c:v>0.60367432371215135</c:v>
                </c:pt>
                <c:pt idx="4">
                  <c:v>0.52119288043173684</c:v>
                </c:pt>
                <c:pt idx="5">
                  <c:v>0.58652857303989536</c:v>
                </c:pt>
                <c:pt idx="6">
                  <c:v>0.60824703916887057</c:v>
                </c:pt>
                <c:pt idx="7">
                  <c:v>0.49728460344166781</c:v>
                </c:pt>
                <c:pt idx="8">
                  <c:v>0.43666674237434427</c:v>
                </c:pt>
                <c:pt idx="9">
                  <c:v>1.0485205345878759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B-47A4-B8E9-E44070160D3E}"/>
            </c:ext>
          </c:extLst>
        </c:ser>
        <c:ser>
          <c:idx val="1"/>
          <c:order val="1"/>
          <c:tx>
            <c:strRef>
              <c:f>'0.5 Seconds Traffic Gen'!$K$790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Gen'!$I$791:$I$800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Gen'!$K$791:$K$800</c:f>
              <c:numCache>
                <c:formatCode>0%</c:formatCode>
                <c:ptCount val="10"/>
                <c:pt idx="0">
                  <c:v>0.67607289030789874</c:v>
                </c:pt>
                <c:pt idx="1">
                  <c:v>0.57429334926720765</c:v>
                </c:pt>
                <c:pt idx="2">
                  <c:v>0.71859069695881839</c:v>
                </c:pt>
                <c:pt idx="3">
                  <c:v>0.60251700432837441</c:v>
                </c:pt>
                <c:pt idx="4">
                  <c:v>0.65230291461858769</c:v>
                </c:pt>
                <c:pt idx="5">
                  <c:v>0.60406119998142249</c:v>
                </c:pt>
                <c:pt idx="6">
                  <c:v>0.67185671674095515</c:v>
                </c:pt>
                <c:pt idx="7">
                  <c:v>0.54701273897763392</c:v>
                </c:pt>
                <c:pt idx="8">
                  <c:v>0.4367283900546069</c:v>
                </c:pt>
                <c:pt idx="9">
                  <c:v>1.1528144272380463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CB-47A4-B8E9-E44070160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Gen'!$J$817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Gen'!$I$818:$I$827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Gen'!$J$818:$J$827</c:f>
              <c:numCache>
                <c:formatCode>0%</c:formatCode>
                <c:ptCount val="10"/>
                <c:pt idx="0">
                  <c:v>0.26181736814546702</c:v>
                </c:pt>
                <c:pt idx="1">
                  <c:v>0.25560451245472254</c:v>
                </c:pt>
                <c:pt idx="2">
                  <c:v>0.24490415849103855</c:v>
                </c:pt>
                <c:pt idx="3">
                  <c:v>0.22859109436414873</c:v>
                </c:pt>
                <c:pt idx="4">
                  <c:v>0.23617443497505883</c:v>
                </c:pt>
                <c:pt idx="5">
                  <c:v>0.22679112008847591</c:v>
                </c:pt>
                <c:pt idx="6">
                  <c:v>0.2224588293083635</c:v>
                </c:pt>
                <c:pt idx="7">
                  <c:v>0.20091708975802705</c:v>
                </c:pt>
                <c:pt idx="8">
                  <c:v>0.17285854552907826</c:v>
                </c:pt>
                <c:pt idx="9">
                  <c:v>0.70354192396590498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3-4C72-A4CB-299CE979F417}"/>
            </c:ext>
          </c:extLst>
        </c:ser>
        <c:ser>
          <c:idx val="1"/>
          <c:order val="1"/>
          <c:tx>
            <c:strRef>
              <c:f>'0.5 Seconds Traffic Gen'!$K$817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Gen'!$I$818:$I$827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Gen'!$K$818:$K$827</c:f>
              <c:numCache>
                <c:formatCode>0%</c:formatCode>
                <c:ptCount val="10"/>
                <c:pt idx="0">
                  <c:v>0.25817491963719963</c:v>
                </c:pt>
                <c:pt idx="1">
                  <c:v>0.25856076888662854</c:v>
                </c:pt>
                <c:pt idx="2">
                  <c:v>0.24717124401909799</c:v>
                </c:pt>
                <c:pt idx="3">
                  <c:v>0.23868531378400609</c:v>
                </c:pt>
                <c:pt idx="4">
                  <c:v>0.22905336575953758</c:v>
                </c:pt>
                <c:pt idx="5">
                  <c:v>0.24189678728931835</c:v>
                </c:pt>
                <c:pt idx="6">
                  <c:v>0.22559616138999489</c:v>
                </c:pt>
                <c:pt idx="7">
                  <c:v>0.20338309777904837</c:v>
                </c:pt>
                <c:pt idx="8">
                  <c:v>0.1631666945396251</c:v>
                </c:pt>
                <c:pt idx="9">
                  <c:v>0.67804059560494845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3-4C72-A4CB-299CE979F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Gen'!$J$844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Gen'!$I$845:$I$854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Gen'!$J$845:$J$854</c:f>
              <c:numCache>
                <c:formatCode>0%</c:formatCode>
                <c:ptCount val="10"/>
                <c:pt idx="0">
                  <c:v>1.0901167599263051</c:v>
                </c:pt>
                <c:pt idx="1">
                  <c:v>1.0552799433026221</c:v>
                </c:pt>
                <c:pt idx="2">
                  <c:v>0.99001325186961553</c:v>
                </c:pt>
                <c:pt idx="3">
                  <c:v>0.85434570968175105</c:v>
                </c:pt>
                <c:pt idx="4">
                  <c:v>0.943188953407607</c:v>
                </c:pt>
                <c:pt idx="5">
                  <c:v>0.9313818237771484</c:v>
                </c:pt>
                <c:pt idx="6">
                  <c:v>0.95865190531530975</c:v>
                </c:pt>
                <c:pt idx="7">
                  <c:v>0.86592774074212375</c:v>
                </c:pt>
                <c:pt idx="8">
                  <c:v>0.82689476507309745</c:v>
                </c:pt>
                <c:pt idx="9">
                  <c:v>1.7180825818699574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F-4A51-8CF1-CE63EC7263F8}"/>
            </c:ext>
          </c:extLst>
        </c:ser>
        <c:ser>
          <c:idx val="1"/>
          <c:order val="1"/>
          <c:tx>
            <c:strRef>
              <c:f>'0.5 Seconds Traffic Gen'!$K$844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Gen'!$I$845:$I$854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Gen'!$K$845:$K$854</c:f>
              <c:numCache>
                <c:formatCode>0%</c:formatCode>
                <c:ptCount val="10"/>
                <c:pt idx="0">
                  <c:v>0.98077197305452424</c:v>
                </c:pt>
                <c:pt idx="1">
                  <c:v>0.98226730451216615</c:v>
                </c:pt>
                <c:pt idx="2">
                  <c:v>1.050186019132568</c:v>
                </c:pt>
                <c:pt idx="3">
                  <c:v>1.0117469003178015</c:v>
                </c:pt>
                <c:pt idx="4">
                  <c:v>0.8984691467785404</c:v>
                </c:pt>
                <c:pt idx="5">
                  <c:v>0.9447544038616067</c:v>
                </c:pt>
                <c:pt idx="6">
                  <c:v>0.95778975851151527</c:v>
                </c:pt>
                <c:pt idx="7">
                  <c:v>0.89602571209462234</c:v>
                </c:pt>
                <c:pt idx="8">
                  <c:v>0.74992011229928224</c:v>
                </c:pt>
                <c:pt idx="9">
                  <c:v>1.5514331111615527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F-4A51-8CF1-CE63EC726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Gen'!$J$871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Gen'!$I$872:$I$881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Gen'!$J$872:$J$881</c:f>
              <c:numCache>
                <c:formatCode>0%</c:formatCode>
                <c:ptCount val="10"/>
                <c:pt idx="0">
                  <c:v>0.50985272773947254</c:v>
                </c:pt>
                <c:pt idx="1">
                  <c:v>0.47608836551765427</c:v>
                </c:pt>
                <c:pt idx="2">
                  <c:v>0.47298257184698506</c:v>
                </c:pt>
                <c:pt idx="3">
                  <c:v>0.46623771331626229</c:v>
                </c:pt>
                <c:pt idx="4">
                  <c:v>0.45320500428904531</c:v>
                </c:pt>
                <c:pt idx="5">
                  <c:v>0.44866011130408728</c:v>
                </c:pt>
                <c:pt idx="6">
                  <c:v>0.43761664326967908</c:v>
                </c:pt>
                <c:pt idx="7">
                  <c:v>0.39182109131234988</c:v>
                </c:pt>
                <c:pt idx="8">
                  <c:v>0.31635082225213684</c:v>
                </c:pt>
                <c:pt idx="9">
                  <c:v>1.0287981978019984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0B-4EE8-858C-CF76B9AA221A}"/>
            </c:ext>
          </c:extLst>
        </c:ser>
        <c:ser>
          <c:idx val="1"/>
          <c:order val="1"/>
          <c:tx>
            <c:strRef>
              <c:f>'0.5 Seconds Traffic Gen'!$K$871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Gen'!$I$872:$I$881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Gen'!$K$872:$K$881</c:f>
              <c:numCache>
                <c:formatCode>0%</c:formatCode>
                <c:ptCount val="10"/>
                <c:pt idx="0">
                  <c:v>0.49707376329465464</c:v>
                </c:pt>
                <c:pt idx="1">
                  <c:v>0.46873100658212286</c:v>
                </c:pt>
                <c:pt idx="2">
                  <c:v>0.47546453114294873</c:v>
                </c:pt>
                <c:pt idx="3">
                  <c:v>0.46204406931445446</c:v>
                </c:pt>
                <c:pt idx="4">
                  <c:v>0.44726416961514442</c:v>
                </c:pt>
                <c:pt idx="5">
                  <c:v>0.43805040005221013</c:v>
                </c:pt>
                <c:pt idx="6">
                  <c:v>0.43419878056338629</c:v>
                </c:pt>
                <c:pt idx="7">
                  <c:v>0.38888303001629282</c:v>
                </c:pt>
                <c:pt idx="8">
                  <c:v>0.30728210423847963</c:v>
                </c:pt>
                <c:pt idx="9">
                  <c:v>1.0110965419938096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0B-4EE8-858C-CF76B9AA2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Gen'!$J$898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Gen'!$I$899:$I$908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Gen'!$J$899:$J$908</c:f>
              <c:numCache>
                <c:formatCode>0%</c:formatCode>
                <c:ptCount val="10"/>
                <c:pt idx="0">
                  <c:v>1.5349110833030051</c:v>
                </c:pt>
                <c:pt idx="1">
                  <c:v>1.545230929363649</c:v>
                </c:pt>
                <c:pt idx="2">
                  <c:v>1.5213831024221041</c:v>
                </c:pt>
                <c:pt idx="3">
                  <c:v>1.5113893963069742</c:v>
                </c:pt>
                <c:pt idx="4">
                  <c:v>1.4385071687600568</c:v>
                </c:pt>
                <c:pt idx="5">
                  <c:v>1.504763844240476</c:v>
                </c:pt>
                <c:pt idx="6">
                  <c:v>1.4620211320349648</c:v>
                </c:pt>
                <c:pt idx="7">
                  <c:v>1.3270861627399078</c:v>
                </c:pt>
                <c:pt idx="8">
                  <c:v>1.0994933265649167</c:v>
                </c:pt>
                <c:pt idx="9">
                  <c:v>2.4096661003762918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D-464E-AD96-A0CDF080A819}"/>
            </c:ext>
          </c:extLst>
        </c:ser>
        <c:ser>
          <c:idx val="1"/>
          <c:order val="1"/>
          <c:tx>
            <c:strRef>
              <c:f>'0.5 Seconds Traffic Gen'!$K$898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Gen'!$I$899:$I$908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Gen'!$K$899:$K$908</c:f>
              <c:numCache>
                <c:formatCode>0%</c:formatCode>
                <c:ptCount val="10"/>
                <c:pt idx="0">
                  <c:v>1.5832456713248015</c:v>
                </c:pt>
                <c:pt idx="1">
                  <c:v>1.4753899556650971</c:v>
                </c:pt>
                <c:pt idx="2">
                  <c:v>1.5144853274472321</c:v>
                </c:pt>
                <c:pt idx="3">
                  <c:v>1.4549253789740615</c:v>
                </c:pt>
                <c:pt idx="4">
                  <c:v>1.4484017387545332</c:v>
                </c:pt>
                <c:pt idx="5">
                  <c:v>1.4346759373742373</c:v>
                </c:pt>
                <c:pt idx="6">
                  <c:v>1.4152047211630185</c:v>
                </c:pt>
                <c:pt idx="7">
                  <c:v>1.3006255922360683</c:v>
                </c:pt>
                <c:pt idx="8">
                  <c:v>1.120816232705818</c:v>
                </c:pt>
                <c:pt idx="9">
                  <c:v>2.3157359922518777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0D-464E-AD96-A0CDF080A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Gen'!$J$925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Gen'!$I$926:$I$935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Gen'!$J$926:$J$935</c:f>
              <c:numCache>
                <c:formatCode>0%</c:formatCode>
                <c:ptCount val="10"/>
                <c:pt idx="0">
                  <c:v>0.89733536397755198</c:v>
                </c:pt>
                <c:pt idx="1">
                  <c:v>0.85594442881953325</c:v>
                </c:pt>
                <c:pt idx="2">
                  <c:v>0.84595666346623999</c:v>
                </c:pt>
                <c:pt idx="3">
                  <c:v>0.84297773216320571</c:v>
                </c:pt>
                <c:pt idx="4">
                  <c:v>0.82711552129291466</c:v>
                </c:pt>
                <c:pt idx="5">
                  <c:v>0.8058325552662674</c:v>
                </c:pt>
                <c:pt idx="6">
                  <c:v>0.78897978031534544</c:v>
                </c:pt>
                <c:pt idx="7">
                  <c:v>0.69069850688024281</c:v>
                </c:pt>
                <c:pt idx="8">
                  <c:v>0.57753319588701757</c:v>
                </c:pt>
                <c:pt idx="9">
                  <c:v>0.96745711434292359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A-42D8-B56D-A751C785C65C}"/>
            </c:ext>
          </c:extLst>
        </c:ser>
        <c:ser>
          <c:idx val="1"/>
          <c:order val="1"/>
          <c:tx>
            <c:strRef>
              <c:f>'0.5 Seconds Traffic Gen'!$K$925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Gen'!$I$926:$I$935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Gen'!$K$926:$K$935</c:f>
              <c:numCache>
                <c:formatCode>0%</c:formatCode>
                <c:ptCount val="10"/>
                <c:pt idx="0">
                  <c:v>0.82142955850853494</c:v>
                </c:pt>
                <c:pt idx="1">
                  <c:v>0.80167908591397641</c:v>
                </c:pt>
                <c:pt idx="2">
                  <c:v>0.77848003203738014</c:v>
                </c:pt>
                <c:pt idx="3">
                  <c:v>0.7770704884202515</c:v>
                </c:pt>
                <c:pt idx="4">
                  <c:v>0.76521939728741672</c:v>
                </c:pt>
                <c:pt idx="5">
                  <c:v>0.75048736281166539</c:v>
                </c:pt>
                <c:pt idx="6">
                  <c:v>0.75287649392310785</c:v>
                </c:pt>
                <c:pt idx="7">
                  <c:v>0.67755602334780807</c:v>
                </c:pt>
                <c:pt idx="8">
                  <c:v>0.55154559292481697</c:v>
                </c:pt>
                <c:pt idx="9">
                  <c:v>0.98578393432814115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A-42D8-B56D-A751C785C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Gen'!$J$952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Gen'!$I$953:$I$962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Gen'!$J$953:$J$962</c:f>
              <c:numCache>
                <c:formatCode>0%</c:formatCode>
                <c:ptCount val="10"/>
                <c:pt idx="0">
                  <c:v>2.3354981400702122</c:v>
                </c:pt>
                <c:pt idx="1">
                  <c:v>2.2769937525611623</c:v>
                </c:pt>
                <c:pt idx="2">
                  <c:v>2.1933986534963443</c:v>
                </c:pt>
                <c:pt idx="3">
                  <c:v>2.2697358271396548</c:v>
                </c:pt>
                <c:pt idx="4">
                  <c:v>2.1455407346748601</c:v>
                </c:pt>
                <c:pt idx="5">
                  <c:v>2.1876915356906035</c:v>
                </c:pt>
                <c:pt idx="6">
                  <c:v>2.0684049235316708</c:v>
                </c:pt>
                <c:pt idx="7">
                  <c:v>1.9144251649022084</c:v>
                </c:pt>
                <c:pt idx="8">
                  <c:v>1.7429651061965481</c:v>
                </c:pt>
                <c:pt idx="9">
                  <c:v>2.3188519194034036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9-4601-BCC4-089DBABBFBB2}"/>
            </c:ext>
          </c:extLst>
        </c:ser>
        <c:ser>
          <c:idx val="1"/>
          <c:order val="1"/>
          <c:tx>
            <c:strRef>
              <c:f>'0.5 Seconds Traffic Gen'!$K$952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Gen'!$I$953:$I$962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Gen'!$K$953:$K$962</c:f>
              <c:numCache>
                <c:formatCode>0%</c:formatCode>
                <c:ptCount val="10"/>
                <c:pt idx="0">
                  <c:v>1.5605694884922481</c:v>
                </c:pt>
                <c:pt idx="1">
                  <c:v>1.5024802835431388</c:v>
                </c:pt>
                <c:pt idx="2">
                  <c:v>1.7274127272859039</c:v>
                </c:pt>
                <c:pt idx="3">
                  <c:v>1.6810414454638678</c:v>
                </c:pt>
                <c:pt idx="4">
                  <c:v>1.5809804842062909</c:v>
                </c:pt>
                <c:pt idx="5">
                  <c:v>1.6328249610208065</c:v>
                </c:pt>
                <c:pt idx="6">
                  <c:v>1.6547659583716703</c:v>
                </c:pt>
                <c:pt idx="7">
                  <c:v>1.6220610133535089</c:v>
                </c:pt>
                <c:pt idx="8">
                  <c:v>1.3406321592537493</c:v>
                </c:pt>
                <c:pt idx="9">
                  <c:v>2.1503793479316631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E9-4601-BCC4-089DBABBF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Gen'!$J$979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Gen'!$I$980:$I$989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Gen'!$J$980:$J$989</c:f>
              <c:numCache>
                <c:formatCode>0%</c:formatCode>
                <c:ptCount val="10"/>
                <c:pt idx="0">
                  <c:v>0.83164356229752512</c:v>
                </c:pt>
                <c:pt idx="1">
                  <c:v>0.81146541234818192</c:v>
                </c:pt>
                <c:pt idx="2">
                  <c:v>0.81084814790336823</c:v>
                </c:pt>
                <c:pt idx="3">
                  <c:v>0.75864230679955214</c:v>
                </c:pt>
                <c:pt idx="4">
                  <c:v>0.81942587006871781</c:v>
                </c:pt>
                <c:pt idx="5">
                  <c:v>0.75994516321559191</c:v>
                </c:pt>
                <c:pt idx="6">
                  <c:v>0.75643854828766766</c:v>
                </c:pt>
                <c:pt idx="7">
                  <c:v>0.70235170528249358</c:v>
                </c:pt>
                <c:pt idx="8">
                  <c:v>0.57356698732519962</c:v>
                </c:pt>
                <c:pt idx="9">
                  <c:v>0.49828977317325418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5C-4337-84C0-71F53332C811}"/>
            </c:ext>
          </c:extLst>
        </c:ser>
        <c:ser>
          <c:idx val="1"/>
          <c:order val="1"/>
          <c:tx>
            <c:strRef>
              <c:f>'0.5 Seconds Traffic Gen'!$K$979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Gen'!$I$980:$I$989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Gen'!$K$980:$K$989</c:f>
              <c:numCache>
                <c:formatCode>0%</c:formatCode>
                <c:ptCount val="10"/>
                <c:pt idx="0">
                  <c:v>0.6584235301680561</c:v>
                </c:pt>
                <c:pt idx="1">
                  <c:v>0.62835548290173171</c:v>
                </c:pt>
                <c:pt idx="2">
                  <c:v>0.67853432259546276</c:v>
                </c:pt>
                <c:pt idx="3">
                  <c:v>0.65273962386769857</c:v>
                </c:pt>
                <c:pt idx="4">
                  <c:v>0.68338829318093963</c:v>
                </c:pt>
                <c:pt idx="5">
                  <c:v>0.65016625366227476</c:v>
                </c:pt>
                <c:pt idx="6">
                  <c:v>0.64639571522501305</c:v>
                </c:pt>
                <c:pt idx="7">
                  <c:v>0.60043691879954419</c:v>
                </c:pt>
                <c:pt idx="8">
                  <c:v>0.47733157986647845</c:v>
                </c:pt>
                <c:pt idx="9">
                  <c:v>0.45377588852584511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5C-4337-84C0-71F53332C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Gen'!$J$1006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Gen'!$I$1007:$I$1016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Gen'!$J$1007:$J$1016</c:f>
              <c:numCache>
                <c:formatCode>0%</c:formatCode>
                <c:ptCount val="10"/>
                <c:pt idx="0">
                  <c:v>1.0869481547572186</c:v>
                </c:pt>
                <c:pt idx="1">
                  <c:v>1.1098841148468506</c:v>
                </c:pt>
                <c:pt idx="2">
                  <c:v>1.0896385322771556</c:v>
                </c:pt>
                <c:pt idx="3">
                  <c:v>1.0726815901828874</c:v>
                </c:pt>
                <c:pt idx="4">
                  <c:v>1.1421052631578947</c:v>
                </c:pt>
                <c:pt idx="5">
                  <c:v>1.0441617784386079</c:v>
                </c:pt>
                <c:pt idx="6">
                  <c:v>1.1276363869478812</c:v>
                </c:pt>
                <c:pt idx="7">
                  <c:v>1.1491681009753301</c:v>
                </c:pt>
                <c:pt idx="8">
                  <c:v>0.97996633162366253</c:v>
                </c:pt>
                <c:pt idx="9">
                  <c:v>1.0446325914885009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7-4698-AA43-6AE2660533C9}"/>
            </c:ext>
          </c:extLst>
        </c:ser>
        <c:ser>
          <c:idx val="1"/>
          <c:order val="1"/>
          <c:tx>
            <c:strRef>
              <c:f>'0.5 Seconds Traffic Gen'!$K$1006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Gen'!$I$1007:$I$1016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Gen'!$K$1007:$K$1016</c:f>
              <c:numCache>
                <c:formatCode>0%</c:formatCode>
                <c:ptCount val="10"/>
                <c:pt idx="0">
                  <c:v>0.4969165770068491</c:v>
                </c:pt>
                <c:pt idx="1">
                  <c:v>0.48196608797416562</c:v>
                </c:pt>
                <c:pt idx="2">
                  <c:v>0.66720386051169989</c:v>
                </c:pt>
                <c:pt idx="3">
                  <c:v>0.728918788518785</c:v>
                </c:pt>
                <c:pt idx="4">
                  <c:v>0.73697916666666641</c:v>
                </c:pt>
                <c:pt idx="5">
                  <c:v>0.66624357428444503</c:v>
                </c:pt>
                <c:pt idx="6">
                  <c:v>0.71804969183006229</c:v>
                </c:pt>
                <c:pt idx="7">
                  <c:v>0.69024767350272787</c:v>
                </c:pt>
                <c:pt idx="8">
                  <c:v>0.61947843550340154</c:v>
                </c:pt>
                <c:pt idx="9">
                  <c:v>0.90305224866808687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A7-4698-AA43-6AE266053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Gen'!$J$1033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Gen'!$I$1034:$I$1043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Gen'!$J$1034:$J$1043</c:f>
              <c:numCache>
                <c:formatCode>0%</c:formatCode>
                <c:ptCount val="10"/>
                <c:pt idx="0">
                  <c:v>0.52705410575720257</c:v>
                </c:pt>
                <c:pt idx="1">
                  <c:v>0.52478899288925451</c:v>
                </c:pt>
                <c:pt idx="2">
                  <c:v>0.55051729216905154</c:v>
                </c:pt>
                <c:pt idx="3">
                  <c:v>0.51215102803257362</c:v>
                </c:pt>
                <c:pt idx="4">
                  <c:v>0.51782346195664153</c:v>
                </c:pt>
                <c:pt idx="5">
                  <c:v>0.51692896959806989</c:v>
                </c:pt>
                <c:pt idx="6">
                  <c:v>0.53532378989371721</c:v>
                </c:pt>
                <c:pt idx="7">
                  <c:v>0.47977993420648857</c:v>
                </c:pt>
                <c:pt idx="8">
                  <c:v>0.43118811920488198</c:v>
                </c:pt>
                <c:pt idx="9">
                  <c:v>0.17094042991312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2-47BE-A0B2-72CC3D5B370F}"/>
            </c:ext>
          </c:extLst>
        </c:ser>
        <c:ser>
          <c:idx val="1"/>
          <c:order val="1"/>
          <c:tx>
            <c:strRef>
              <c:f>'0.5 Seconds Traffic Gen'!$K$1033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Gen'!$I$1034:$I$1043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Gen'!$K$1034:$K$1043</c:f>
              <c:numCache>
                <c:formatCode>0%</c:formatCode>
                <c:ptCount val="10"/>
                <c:pt idx="0">
                  <c:v>0.35541114693385445</c:v>
                </c:pt>
                <c:pt idx="1">
                  <c:v>0.32116286954464762</c:v>
                </c:pt>
                <c:pt idx="2">
                  <c:v>0.37308472921250962</c:v>
                </c:pt>
                <c:pt idx="3">
                  <c:v>0.37195830807549751</c:v>
                </c:pt>
                <c:pt idx="4">
                  <c:v>0.36547547170965311</c:v>
                </c:pt>
                <c:pt idx="5">
                  <c:v>0.33436629989734218</c:v>
                </c:pt>
                <c:pt idx="6">
                  <c:v>0.36855613010133109</c:v>
                </c:pt>
                <c:pt idx="7">
                  <c:v>0.35157867047981745</c:v>
                </c:pt>
                <c:pt idx="8">
                  <c:v>0.29599931680234859</c:v>
                </c:pt>
                <c:pt idx="9">
                  <c:v>0.11020585704547176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D2-47BE-A0B2-72CC3D5B3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P99 FCT Slowdowns</a:t>
            </a:r>
            <a:endParaRPr lang="en-US"/>
          </a:p>
        </c:rich>
      </c:tx>
      <c:layout>
        <c:manualLayout>
          <c:xMode val="edge"/>
          <c:yMode val="edge"/>
          <c:x val="0.120277751470308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'0.5 Seconds Traffic Gen'!$J$1060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'0.5 Seconds Traffic Gen'!$I$1061:$I$1070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Gen'!$J$1061:$J$1070</c:f>
              <c:numCache>
                <c:formatCode>0%</c:formatCode>
                <c:ptCount val="10"/>
                <c:pt idx="0">
                  <c:v>0.61651752333630794</c:v>
                </c:pt>
                <c:pt idx="1">
                  <c:v>0.66623809360232</c:v>
                </c:pt>
                <c:pt idx="2">
                  <c:v>0.79415456692991215</c:v>
                </c:pt>
                <c:pt idx="3">
                  <c:v>0.72248131348623279</c:v>
                </c:pt>
                <c:pt idx="4">
                  <c:v>0.73320049911471263</c:v>
                </c:pt>
                <c:pt idx="5">
                  <c:v>0.77864663165565262</c:v>
                </c:pt>
                <c:pt idx="6">
                  <c:v>0.78337780162921034</c:v>
                </c:pt>
                <c:pt idx="7">
                  <c:v>0.68865673277635775</c:v>
                </c:pt>
                <c:pt idx="8">
                  <c:v>0.7482311067142674</c:v>
                </c:pt>
                <c:pt idx="9">
                  <c:v>0.40872483512230623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A-4CB6-8F90-DB27146B061A}"/>
            </c:ext>
          </c:extLst>
        </c:ser>
        <c:ser>
          <c:idx val="1"/>
          <c:order val="1"/>
          <c:tx>
            <c:strRef>
              <c:f>'0.5 Seconds Traffic Gen'!$K$1060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'0.5 Seconds Traffic Gen'!$I$1061:$I$1070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'0.5 Seconds Traffic Gen'!$K$1061:$K$1070</c:f>
              <c:numCache>
                <c:formatCode>0%</c:formatCode>
                <c:ptCount val="10"/>
                <c:pt idx="0">
                  <c:v>0.1741576014858052</c:v>
                </c:pt>
                <c:pt idx="1">
                  <c:v>0.13955451302158722</c:v>
                </c:pt>
                <c:pt idx="2">
                  <c:v>0.34523044685835141</c:v>
                </c:pt>
                <c:pt idx="3">
                  <c:v>0.33962523772783776</c:v>
                </c:pt>
                <c:pt idx="4">
                  <c:v>0.32004004754412879</c:v>
                </c:pt>
                <c:pt idx="5">
                  <c:v>0.35567002537879749</c:v>
                </c:pt>
                <c:pt idx="6">
                  <c:v>0.35738334033687907</c:v>
                </c:pt>
                <c:pt idx="7">
                  <c:v>0.27889621226840428</c:v>
                </c:pt>
                <c:pt idx="8">
                  <c:v>0.24397285904770102</c:v>
                </c:pt>
                <c:pt idx="9">
                  <c:v>0.23640147122745256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A-4CB6-8F90-DB27146B0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53.xml"/><Relationship Id="rId18" Type="http://schemas.openxmlformats.org/officeDocument/2006/relationships/chart" Target="../charts/chart58.xml"/><Relationship Id="rId26" Type="http://schemas.openxmlformats.org/officeDocument/2006/relationships/chart" Target="../charts/chart66.xml"/><Relationship Id="rId39" Type="http://schemas.openxmlformats.org/officeDocument/2006/relationships/chart" Target="../charts/chart79.xml"/><Relationship Id="rId21" Type="http://schemas.openxmlformats.org/officeDocument/2006/relationships/chart" Target="../charts/chart61.xml"/><Relationship Id="rId34" Type="http://schemas.openxmlformats.org/officeDocument/2006/relationships/chart" Target="../charts/chart74.xml"/><Relationship Id="rId7" Type="http://schemas.openxmlformats.org/officeDocument/2006/relationships/chart" Target="../charts/chart47.xml"/><Relationship Id="rId12" Type="http://schemas.openxmlformats.org/officeDocument/2006/relationships/chart" Target="../charts/chart52.xml"/><Relationship Id="rId17" Type="http://schemas.openxmlformats.org/officeDocument/2006/relationships/chart" Target="../charts/chart57.xml"/><Relationship Id="rId25" Type="http://schemas.openxmlformats.org/officeDocument/2006/relationships/chart" Target="../charts/chart65.xml"/><Relationship Id="rId33" Type="http://schemas.openxmlformats.org/officeDocument/2006/relationships/chart" Target="../charts/chart73.xml"/><Relationship Id="rId38" Type="http://schemas.openxmlformats.org/officeDocument/2006/relationships/chart" Target="../charts/chart78.xml"/><Relationship Id="rId2" Type="http://schemas.openxmlformats.org/officeDocument/2006/relationships/chart" Target="../charts/chart42.xml"/><Relationship Id="rId16" Type="http://schemas.openxmlformats.org/officeDocument/2006/relationships/chart" Target="../charts/chart56.xml"/><Relationship Id="rId20" Type="http://schemas.openxmlformats.org/officeDocument/2006/relationships/chart" Target="../charts/chart60.xml"/><Relationship Id="rId29" Type="http://schemas.openxmlformats.org/officeDocument/2006/relationships/chart" Target="../charts/chart69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chart" Target="../charts/chart51.xml"/><Relationship Id="rId24" Type="http://schemas.openxmlformats.org/officeDocument/2006/relationships/chart" Target="../charts/chart64.xml"/><Relationship Id="rId32" Type="http://schemas.openxmlformats.org/officeDocument/2006/relationships/chart" Target="../charts/chart72.xml"/><Relationship Id="rId37" Type="http://schemas.openxmlformats.org/officeDocument/2006/relationships/chart" Target="../charts/chart77.xml"/><Relationship Id="rId40" Type="http://schemas.openxmlformats.org/officeDocument/2006/relationships/chart" Target="../charts/chart80.xml"/><Relationship Id="rId5" Type="http://schemas.openxmlformats.org/officeDocument/2006/relationships/chart" Target="../charts/chart45.xml"/><Relationship Id="rId15" Type="http://schemas.openxmlformats.org/officeDocument/2006/relationships/chart" Target="../charts/chart55.xml"/><Relationship Id="rId23" Type="http://schemas.openxmlformats.org/officeDocument/2006/relationships/chart" Target="../charts/chart63.xml"/><Relationship Id="rId28" Type="http://schemas.openxmlformats.org/officeDocument/2006/relationships/chart" Target="../charts/chart68.xml"/><Relationship Id="rId36" Type="http://schemas.openxmlformats.org/officeDocument/2006/relationships/chart" Target="../charts/chart76.xml"/><Relationship Id="rId10" Type="http://schemas.openxmlformats.org/officeDocument/2006/relationships/chart" Target="../charts/chart50.xml"/><Relationship Id="rId19" Type="http://schemas.openxmlformats.org/officeDocument/2006/relationships/chart" Target="../charts/chart59.xml"/><Relationship Id="rId31" Type="http://schemas.openxmlformats.org/officeDocument/2006/relationships/chart" Target="../charts/chart71.xml"/><Relationship Id="rId4" Type="http://schemas.openxmlformats.org/officeDocument/2006/relationships/chart" Target="../charts/chart44.xml"/><Relationship Id="rId9" Type="http://schemas.openxmlformats.org/officeDocument/2006/relationships/chart" Target="../charts/chart49.xml"/><Relationship Id="rId14" Type="http://schemas.openxmlformats.org/officeDocument/2006/relationships/chart" Target="../charts/chart54.xml"/><Relationship Id="rId22" Type="http://schemas.openxmlformats.org/officeDocument/2006/relationships/chart" Target="../charts/chart62.xml"/><Relationship Id="rId27" Type="http://schemas.openxmlformats.org/officeDocument/2006/relationships/chart" Target="../charts/chart67.xml"/><Relationship Id="rId30" Type="http://schemas.openxmlformats.org/officeDocument/2006/relationships/chart" Target="../charts/chart70.xml"/><Relationship Id="rId35" Type="http://schemas.openxmlformats.org/officeDocument/2006/relationships/chart" Target="../charts/chart75.xml"/><Relationship Id="rId8" Type="http://schemas.openxmlformats.org/officeDocument/2006/relationships/chart" Target="../charts/chart48.xml"/><Relationship Id="rId3" Type="http://schemas.openxmlformats.org/officeDocument/2006/relationships/chart" Target="../charts/chart4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123458</xdr:colOff>
      <xdr:row>0</xdr:row>
      <xdr:rowOff>176212</xdr:rowOff>
    </xdr:from>
    <xdr:to>
      <xdr:col>18</xdr:col>
      <xdr:colOff>428259</xdr:colOff>
      <xdr:row>15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1DE708-3145-41FC-B01F-5B22483A4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123458</xdr:colOff>
      <xdr:row>27</xdr:row>
      <xdr:rowOff>176212</xdr:rowOff>
    </xdr:from>
    <xdr:to>
      <xdr:col>18</xdr:col>
      <xdr:colOff>428259</xdr:colOff>
      <xdr:row>42</xdr:row>
      <xdr:rowOff>61912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9670835-0C54-49C1-B9B8-E08EAA407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123458</xdr:colOff>
      <xdr:row>54</xdr:row>
      <xdr:rowOff>176212</xdr:rowOff>
    </xdr:from>
    <xdr:to>
      <xdr:col>18</xdr:col>
      <xdr:colOff>428259</xdr:colOff>
      <xdr:row>69</xdr:row>
      <xdr:rowOff>61912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8EB6C21-8167-4647-A896-45CE12CD3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123458</xdr:colOff>
      <xdr:row>81</xdr:row>
      <xdr:rowOff>176212</xdr:rowOff>
    </xdr:from>
    <xdr:to>
      <xdr:col>18</xdr:col>
      <xdr:colOff>428259</xdr:colOff>
      <xdr:row>96</xdr:row>
      <xdr:rowOff>61912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0597CB4-F41D-4A4B-9B72-B9DBAF0CF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123458</xdr:colOff>
      <xdr:row>108</xdr:row>
      <xdr:rowOff>176212</xdr:rowOff>
    </xdr:from>
    <xdr:to>
      <xdr:col>18</xdr:col>
      <xdr:colOff>428259</xdr:colOff>
      <xdr:row>123</xdr:row>
      <xdr:rowOff>61912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B0639EF-64A5-4D0C-880B-5633096AA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123458</xdr:colOff>
      <xdr:row>135</xdr:row>
      <xdr:rowOff>176212</xdr:rowOff>
    </xdr:from>
    <xdr:to>
      <xdr:col>18</xdr:col>
      <xdr:colOff>428259</xdr:colOff>
      <xdr:row>150</xdr:row>
      <xdr:rowOff>61912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DB677DB-BD9F-4720-AA96-BCE9BBF75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123458</xdr:colOff>
      <xdr:row>162</xdr:row>
      <xdr:rowOff>176212</xdr:rowOff>
    </xdr:from>
    <xdr:to>
      <xdr:col>18</xdr:col>
      <xdr:colOff>428259</xdr:colOff>
      <xdr:row>177</xdr:row>
      <xdr:rowOff>61912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51851A9-A69B-44CF-9BA9-6CFE1C3A6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123458</xdr:colOff>
      <xdr:row>189</xdr:row>
      <xdr:rowOff>176212</xdr:rowOff>
    </xdr:from>
    <xdr:to>
      <xdr:col>18</xdr:col>
      <xdr:colOff>428259</xdr:colOff>
      <xdr:row>204</xdr:row>
      <xdr:rowOff>61912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69067A4-F60F-4610-A6B3-BFB0B504E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123458</xdr:colOff>
      <xdr:row>216</xdr:row>
      <xdr:rowOff>176212</xdr:rowOff>
    </xdr:from>
    <xdr:to>
      <xdr:col>18</xdr:col>
      <xdr:colOff>428259</xdr:colOff>
      <xdr:row>231</xdr:row>
      <xdr:rowOff>61912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FD53426-37D0-4C16-ACE0-D9C6999AA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123458</xdr:colOff>
      <xdr:row>243</xdr:row>
      <xdr:rowOff>176212</xdr:rowOff>
    </xdr:from>
    <xdr:to>
      <xdr:col>18</xdr:col>
      <xdr:colOff>428259</xdr:colOff>
      <xdr:row>258</xdr:row>
      <xdr:rowOff>61912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0F84CC4-38E0-49B4-84D9-488A39B62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123458</xdr:colOff>
      <xdr:row>270</xdr:row>
      <xdr:rowOff>176212</xdr:rowOff>
    </xdr:from>
    <xdr:to>
      <xdr:col>18</xdr:col>
      <xdr:colOff>428259</xdr:colOff>
      <xdr:row>285</xdr:row>
      <xdr:rowOff>61912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7642505-0AA0-4915-9222-BF002DA0F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123458</xdr:colOff>
      <xdr:row>297</xdr:row>
      <xdr:rowOff>176212</xdr:rowOff>
    </xdr:from>
    <xdr:to>
      <xdr:col>18</xdr:col>
      <xdr:colOff>428259</xdr:colOff>
      <xdr:row>312</xdr:row>
      <xdr:rowOff>61912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1A94403-E363-4105-B9EF-6C876CB72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123458</xdr:colOff>
      <xdr:row>324</xdr:row>
      <xdr:rowOff>176212</xdr:rowOff>
    </xdr:from>
    <xdr:to>
      <xdr:col>18</xdr:col>
      <xdr:colOff>428259</xdr:colOff>
      <xdr:row>339</xdr:row>
      <xdr:rowOff>61912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13237A8-AB03-44F8-B31A-C63E010C1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123458</xdr:colOff>
      <xdr:row>351</xdr:row>
      <xdr:rowOff>176212</xdr:rowOff>
    </xdr:from>
    <xdr:to>
      <xdr:col>18</xdr:col>
      <xdr:colOff>428259</xdr:colOff>
      <xdr:row>366</xdr:row>
      <xdr:rowOff>61912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3655563-3329-4D3A-BFB6-F02CAD53E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123458</xdr:colOff>
      <xdr:row>378</xdr:row>
      <xdr:rowOff>176212</xdr:rowOff>
    </xdr:from>
    <xdr:to>
      <xdr:col>18</xdr:col>
      <xdr:colOff>428259</xdr:colOff>
      <xdr:row>393</xdr:row>
      <xdr:rowOff>61912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111CE8B-B981-4612-ABFC-A654C18F8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123458</xdr:colOff>
      <xdr:row>405</xdr:row>
      <xdr:rowOff>176212</xdr:rowOff>
    </xdr:from>
    <xdr:to>
      <xdr:col>18</xdr:col>
      <xdr:colOff>428259</xdr:colOff>
      <xdr:row>420</xdr:row>
      <xdr:rowOff>61912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DE193E4-E398-4AB3-B15A-DAE94C98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123458</xdr:colOff>
      <xdr:row>432</xdr:row>
      <xdr:rowOff>176212</xdr:rowOff>
    </xdr:from>
    <xdr:to>
      <xdr:col>18</xdr:col>
      <xdr:colOff>428259</xdr:colOff>
      <xdr:row>447</xdr:row>
      <xdr:rowOff>61912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5093945-37EE-4DE4-9828-08DB41B52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123458</xdr:colOff>
      <xdr:row>459</xdr:row>
      <xdr:rowOff>176212</xdr:rowOff>
    </xdr:from>
    <xdr:to>
      <xdr:col>18</xdr:col>
      <xdr:colOff>428259</xdr:colOff>
      <xdr:row>474</xdr:row>
      <xdr:rowOff>61912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9A3B9CC-6EB8-4A1D-A51B-2DF06899F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123458</xdr:colOff>
      <xdr:row>486</xdr:row>
      <xdr:rowOff>176212</xdr:rowOff>
    </xdr:from>
    <xdr:to>
      <xdr:col>18</xdr:col>
      <xdr:colOff>428259</xdr:colOff>
      <xdr:row>501</xdr:row>
      <xdr:rowOff>61912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A58F36C-8B49-48E5-8922-5097CFF23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123458</xdr:colOff>
      <xdr:row>513</xdr:row>
      <xdr:rowOff>176212</xdr:rowOff>
    </xdr:from>
    <xdr:to>
      <xdr:col>18</xdr:col>
      <xdr:colOff>428259</xdr:colOff>
      <xdr:row>528</xdr:row>
      <xdr:rowOff>61912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E1162D1-1157-4E18-9A48-30622DEF2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123458</xdr:colOff>
      <xdr:row>544</xdr:row>
      <xdr:rowOff>176212</xdr:rowOff>
    </xdr:from>
    <xdr:to>
      <xdr:col>18</xdr:col>
      <xdr:colOff>428259</xdr:colOff>
      <xdr:row>559</xdr:row>
      <xdr:rowOff>61912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C293F06-BC80-4E5B-8405-DD10AE76D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123458</xdr:colOff>
      <xdr:row>571</xdr:row>
      <xdr:rowOff>176212</xdr:rowOff>
    </xdr:from>
    <xdr:to>
      <xdr:col>18</xdr:col>
      <xdr:colOff>428259</xdr:colOff>
      <xdr:row>586</xdr:row>
      <xdr:rowOff>61912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D4021AB-8F8A-4381-916A-B57AA4FDB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123458</xdr:colOff>
      <xdr:row>598</xdr:row>
      <xdr:rowOff>176212</xdr:rowOff>
    </xdr:from>
    <xdr:to>
      <xdr:col>18</xdr:col>
      <xdr:colOff>428259</xdr:colOff>
      <xdr:row>613</xdr:row>
      <xdr:rowOff>61912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197F461-66AA-4458-BB36-541D0CAAF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123458</xdr:colOff>
      <xdr:row>625</xdr:row>
      <xdr:rowOff>176212</xdr:rowOff>
    </xdr:from>
    <xdr:to>
      <xdr:col>18</xdr:col>
      <xdr:colOff>428259</xdr:colOff>
      <xdr:row>640</xdr:row>
      <xdr:rowOff>61912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42BD8D3-3DB4-4837-ADB8-921FB25DB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</xdr:col>
      <xdr:colOff>123458</xdr:colOff>
      <xdr:row>652</xdr:row>
      <xdr:rowOff>176212</xdr:rowOff>
    </xdr:from>
    <xdr:to>
      <xdr:col>18</xdr:col>
      <xdr:colOff>428259</xdr:colOff>
      <xdr:row>667</xdr:row>
      <xdr:rowOff>61912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5CE71CC-4CFB-42BF-8157-D97235607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123458</xdr:colOff>
      <xdr:row>679</xdr:row>
      <xdr:rowOff>176212</xdr:rowOff>
    </xdr:from>
    <xdr:to>
      <xdr:col>18</xdr:col>
      <xdr:colOff>428259</xdr:colOff>
      <xdr:row>694</xdr:row>
      <xdr:rowOff>61912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5E275A6D-44CB-49E0-A581-B91C34266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123458</xdr:colOff>
      <xdr:row>706</xdr:row>
      <xdr:rowOff>176212</xdr:rowOff>
    </xdr:from>
    <xdr:to>
      <xdr:col>18</xdr:col>
      <xdr:colOff>428259</xdr:colOff>
      <xdr:row>721</xdr:row>
      <xdr:rowOff>61912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C4891559-98BB-41D1-A005-033DB40F4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11</xdr:col>
      <xdr:colOff>123458</xdr:colOff>
      <xdr:row>733</xdr:row>
      <xdr:rowOff>176212</xdr:rowOff>
    </xdr:from>
    <xdr:to>
      <xdr:col>18</xdr:col>
      <xdr:colOff>428259</xdr:colOff>
      <xdr:row>748</xdr:row>
      <xdr:rowOff>61912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C6C4F1C-4C85-489C-8023-89C3B03A3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</xdr:col>
      <xdr:colOff>123458</xdr:colOff>
      <xdr:row>760</xdr:row>
      <xdr:rowOff>176212</xdr:rowOff>
    </xdr:from>
    <xdr:to>
      <xdr:col>18</xdr:col>
      <xdr:colOff>428259</xdr:colOff>
      <xdr:row>775</xdr:row>
      <xdr:rowOff>61912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E656532F-4A99-447B-BEF6-3EC2F256F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11</xdr:col>
      <xdr:colOff>123458</xdr:colOff>
      <xdr:row>787</xdr:row>
      <xdr:rowOff>176212</xdr:rowOff>
    </xdr:from>
    <xdr:to>
      <xdr:col>18</xdr:col>
      <xdr:colOff>428259</xdr:colOff>
      <xdr:row>802</xdr:row>
      <xdr:rowOff>61912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274D155-F8EA-4B38-BEF6-E2A14D76D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11</xdr:col>
      <xdr:colOff>123458</xdr:colOff>
      <xdr:row>814</xdr:row>
      <xdr:rowOff>176212</xdr:rowOff>
    </xdr:from>
    <xdr:to>
      <xdr:col>18</xdr:col>
      <xdr:colOff>428259</xdr:colOff>
      <xdr:row>829</xdr:row>
      <xdr:rowOff>61912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79E901D6-EE5F-4881-9D4A-799991E59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11</xdr:col>
      <xdr:colOff>123458</xdr:colOff>
      <xdr:row>841</xdr:row>
      <xdr:rowOff>176212</xdr:rowOff>
    </xdr:from>
    <xdr:to>
      <xdr:col>18</xdr:col>
      <xdr:colOff>428259</xdr:colOff>
      <xdr:row>856</xdr:row>
      <xdr:rowOff>61912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272E274-F74F-41E3-BB98-C933040FA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11</xdr:col>
      <xdr:colOff>123458</xdr:colOff>
      <xdr:row>868</xdr:row>
      <xdr:rowOff>176212</xdr:rowOff>
    </xdr:from>
    <xdr:to>
      <xdr:col>18</xdr:col>
      <xdr:colOff>428259</xdr:colOff>
      <xdr:row>883</xdr:row>
      <xdr:rowOff>61912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436B956-0543-4FD2-8D7F-E8290FE87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11</xdr:col>
      <xdr:colOff>123458</xdr:colOff>
      <xdr:row>895</xdr:row>
      <xdr:rowOff>176212</xdr:rowOff>
    </xdr:from>
    <xdr:to>
      <xdr:col>18</xdr:col>
      <xdr:colOff>428259</xdr:colOff>
      <xdr:row>910</xdr:row>
      <xdr:rowOff>61912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5275C511-4BF5-4147-964E-0CEEEEBD8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11</xdr:col>
      <xdr:colOff>123458</xdr:colOff>
      <xdr:row>922</xdr:row>
      <xdr:rowOff>176212</xdr:rowOff>
    </xdr:from>
    <xdr:to>
      <xdr:col>18</xdr:col>
      <xdr:colOff>428259</xdr:colOff>
      <xdr:row>937</xdr:row>
      <xdr:rowOff>61912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B40DE3B-AF54-4A1A-AC1F-44AB5A15C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11</xdr:col>
      <xdr:colOff>123458</xdr:colOff>
      <xdr:row>949</xdr:row>
      <xdr:rowOff>176212</xdr:rowOff>
    </xdr:from>
    <xdr:to>
      <xdr:col>18</xdr:col>
      <xdr:colOff>428259</xdr:colOff>
      <xdr:row>964</xdr:row>
      <xdr:rowOff>61912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CB7A3AE-56D2-454F-94EA-4C34D7E56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11</xdr:col>
      <xdr:colOff>123458</xdr:colOff>
      <xdr:row>976</xdr:row>
      <xdr:rowOff>176212</xdr:rowOff>
    </xdr:from>
    <xdr:to>
      <xdr:col>18</xdr:col>
      <xdr:colOff>428259</xdr:colOff>
      <xdr:row>991</xdr:row>
      <xdr:rowOff>61912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3224C2F0-921E-4032-8517-3F9374CB8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11</xdr:col>
      <xdr:colOff>123458</xdr:colOff>
      <xdr:row>1003</xdr:row>
      <xdr:rowOff>176212</xdr:rowOff>
    </xdr:from>
    <xdr:to>
      <xdr:col>18</xdr:col>
      <xdr:colOff>428259</xdr:colOff>
      <xdr:row>1018</xdr:row>
      <xdr:rowOff>61912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27138E74-C8D3-4A38-BD7D-554BAA553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11</xdr:col>
      <xdr:colOff>123458</xdr:colOff>
      <xdr:row>1030</xdr:row>
      <xdr:rowOff>176212</xdr:rowOff>
    </xdr:from>
    <xdr:to>
      <xdr:col>18</xdr:col>
      <xdr:colOff>428259</xdr:colOff>
      <xdr:row>1045</xdr:row>
      <xdr:rowOff>61912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4AEDC52-8D3C-452A-8E5F-F242AF61A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11</xdr:col>
      <xdr:colOff>123458</xdr:colOff>
      <xdr:row>1057</xdr:row>
      <xdr:rowOff>176212</xdr:rowOff>
    </xdr:from>
    <xdr:to>
      <xdr:col>18</xdr:col>
      <xdr:colOff>428259</xdr:colOff>
      <xdr:row>1072</xdr:row>
      <xdr:rowOff>61912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37B36C7-416F-49E3-A264-B9A75391D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123458</xdr:colOff>
      <xdr:row>0</xdr:row>
      <xdr:rowOff>176212</xdr:rowOff>
    </xdr:from>
    <xdr:to>
      <xdr:col>18</xdr:col>
      <xdr:colOff>428259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F4A6C-1F5A-48C0-A603-6A40EBCC0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123458</xdr:colOff>
      <xdr:row>27</xdr:row>
      <xdr:rowOff>176212</xdr:rowOff>
    </xdr:from>
    <xdr:to>
      <xdr:col>18</xdr:col>
      <xdr:colOff>428259</xdr:colOff>
      <xdr:row>42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D4A5AD-7838-4AA0-ADC4-7CC4B0F88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123458</xdr:colOff>
      <xdr:row>54</xdr:row>
      <xdr:rowOff>176212</xdr:rowOff>
    </xdr:from>
    <xdr:to>
      <xdr:col>18</xdr:col>
      <xdr:colOff>428259</xdr:colOff>
      <xdr:row>69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184FA4-DD2B-4275-9B3C-A71D79A92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123458</xdr:colOff>
      <xdr:row>81</xdr:row>
      <xdr:rowOff>176212</xdr:rowOff>
    </xdr:from>
    <xdr:to>
      <xdr:col>18</xdr:col>
      <xdr:colOff>428259</xdr:colOff>
      <xdr:row>96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D8A735-CE81-4828-9896-12BC73CE5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123458</xdr:colOff>
      <xdr:row>108</xdr:row>
      <xdr:rowOff>176212</xdr:rowOff>
    </xdr:from>
    <xdr:to>
      <xdr:col>18</xdr:col>
      <xdr:colOff>428259</xdr:colOff>
      <xdr:row>123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9428AF-9482-4600-BD48-1F921C00B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123458</xdr:colOff>
      <xdr:row>135</xdr:row>
      <xdr:rowOff>176212</xdr:rowOff>
    </xdr:from>
    <xdr:to>
      <xdr:col>18</xdr:col>
      <xdr:colOff>428259</xdr:colOff>
      <xdr:row>150</xdr:row>
      <xdr:rowOff>61912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C1288E-00B7-4B64-B98F-61E7D3D18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123458</xdr:colOff>
      <xdr:row>162</xdr:row>
      <xdr:rowOff>176212</xdr:rowOff>
    </xdr:from>
    <xdr:to>
      <xdr:col>18</xdr:col>
      <xdr:colOff>428259</xdr:colOff>
      <xdr:row>177</xdr:row>
      <xdr:rowOff>61912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04A55A-2D6C-46A7-A4C0-279A26E2F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123458</xdr:colOff>
      <xdr:row>189</xdr:row>
      <xdr:rowOff>176212</xdr:rowOff>
    </xdr:from>
    <xdr:to>
      <xdr:col>18</xdr:col>
      <xdr:colOff>428259</xdr:colOff>
      <xdr:row>204</xdr:row>
      <xdr:rowOff>61912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685CCA-C8D9-4158-B2FB-E8EF790DD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123458</xdr:colOff>
      <xdr:row>216</xdr:row>
      <xdr:rowOff>176212</xdr:rowOff>
    </xdr:from>
    <xdr:to>
      <xdr:col>18</xdr:col>
      <xdr:colOff>428259</xdr:colOff>
      <xdr:row>231</xdr:row>
      <xdr:rowOff>61912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A2834C-5AAE-4958-93FB-EBE86B575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123458</xdr:colOff>
      <xdr:row>243</xdr:row>
      <xdr:rowOff>176212</xdr:rowOff>
    </xdr:from>
    <xdr:to>
      <xdr:col>18</xdr:col>
      <xdr:colOff>428259</xdr:colOff>
      <xdr:row>258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B74B48-2FD0-433E-8856-A6726DE92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123458</xdr:colOff>
      <xdr:row>270</xdr:row>
      <xdr:rowOff>176212</xdr:rowOff>
    </xdr:from>
    <xdr:to>
      <xdr:col>18</xdr:col>
      <xdr:colOff>428259</xdr:colOff>
      <xdr:row>285</xdr:row>
      <xdr:rowOff>61912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1BA152-5C4C-4510-8909-2708E8DD7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123458</xdr:colOff>
      <xdr:row>297</xdr:row>
      <xdr:rowOff>176212</xdr:rowOff>
    </xdr:from>
    <xdr:to>
      <xdr:col>18</xdr:col>
      <xdr:colOff>428259</xdr:colOff>
      <xdr:row>312</xdr:row>
      <xdr:rowOff>61912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3786F75-BBDA-49E9-AA2C-43B40A05B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123458</xdr:colOff>
      <xdr:row>324</xdr:row>
      <xdr:rowOff>176212</xdr:rowOff>
    </xdr:from>
    <xdr:to>
      <xdr:col>18</xdr:col>
      <xdr:colOff>428259</xdr:colOff>
      <xdr:row>339</xdr:row>
      <xdr:rowOff>61912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78BA569-7624-4DD8-88E3-84B964059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123458</xdr:colOff>
      <xdr:row>351</xdr:row>
      <xdr:rowOff>176212</xdr:rowOff>
    </xdr:from>
    <xdr:to>
      <xdr:col>18</xdr:col>
      <xdr:colOff>428259</xdr:colOff>
      <xdr:row>366</xdr:row>
      <xdr:rowOff>61912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E93050F-4FF2-4C8B-8F31-593DCE75F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123458</xdr:colOff>
      <xdr:row>378</xdr:row>
      <xdr:rowOff>176212</xdr:rowOff>
    </xdr:from>
    <xdr:to>
      <xdr:col>18</xdr:col>
      <xdr:colOff>428259</xdr:colOff>
      <xdr:row>393</xdr:row>
      <xdr:rowOff>61912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DE64D1C-F870-47D8-A149-DF480296B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123458</xdr:colOff>
      <xdr:row>405</xdr:row>
      <xdr:rowOff>176212</xdr:rowOff>
    </xdr:from>
    <xdr:to>
      <xdr:col>18</xdr:col>
      <xdr:colOff>428259</xdr:colOff>
      <xdr:row>420</xdr:row>
      <xdr:rowOff>61912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3B2B1C8-BE9F-4BC8-AB44-35AD2ED99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123458</xdr:colOff>
      <xdr:row>432</xdr:row>
      <xdr:rowOff>176212</xdr:rowOff>
    </xdr:from>
    <xdr:to>
      <xdr:col>18</xdr:col>
      <xdr:colOff>428259</xdr:colOff>
      <xdr:row>447</xdr:row>
      <xdr:rowOff>61912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78CF95D-E732-4913-A1D2-FFD2322AF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123458</xdr:colOff>
      <xdr:row>459</xdr:row>
      <xdr:rowOff>176212</xdr:rowOff>
    </xdr:from>
    <xdr:to>
      <xdr:col>18</xdr:col>
      <xdr:colOff>428259</xdr:colOff>
      <xdr:row>474</xdr:row>
      <xdr:rowOff>61912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EA60C79-BDD0-41B7-BCE2-2499C5D97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123458</xdr:colOff>
      <xdr:row>486</xdr:row>
      <xdr:rowOff>176212</xdr:rowOff>
    </xdr:from>
    <xdr:to>
      <xdr:col>18</xdr:col>
      <xdr:colOff>428259</xdr:colOff>
      <xdr:row>501</xdr:row>
      <xdr:rowOff>61912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24D6488-B9D0-4102-8E70-FCDFA6781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</xdr:col>
      <xdr:colOff>123458</xdr:colOff>
      <xdr:row>513</xdr:row>
      <xdr:rowOff>176212</xdr:rowOff>
    </xdr:from>
    <xdr:to>
      <xdr:col>18</xdr:col>
      <xdr:colOff>428259</xdr:colOff>
      <xdr:row>528</xdr:row>
      <xdr:rowOff>61912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3A91613-EC44-4EF8-8D4B-29D71B3E7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123458</xdr:colOff>
      <xdr:row>544</xdr:row>
      <xdr:rowOff>176212</xdr:rowOff>
    </xdr:from>
    <xdr:to>
      <xdr:col>18</xdr:col>
      <xdr:colOff>428259</xdr:colOff>
      <xdr:row>559</xdr:row>
      <xdr:rowOff>61912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E312E1D-2D0A-4115-AE02-A6D86DEAC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123458</xdr:colOff>
      <xdr:row>571</xdr:row>
      <xdr:rowOff>176212</xdr:rowOff>
    </xdr:from>
    <xdr:to>
      <xdr:col>18</xdr:col>
      <xdr:colOff>428259</xdr:colOff>
      <xdr:row>586</xdr:row>
      <xdr:rowOff>61912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FACC83C-B052-4514-85BF-E2A88E3D0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123458</xdr:colOff>
      <xdr:row>598</xdr:row>
      <xdr:rowOff>176212</xdr:rowOff>
    </xdr:from>
    <xdr:to>
      <xdr:col>18</xdr:col>
      <xdr:colOff>428259</xdr:colOff>
      <xdr:row>613</xdr:row>
      <xdr:rowOff>61912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7D73B59-20B3-450B-BEE9-30F46A6EE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123458</xdr:colOff>
      <xdr:row>625</xdr:row>
      <xdr:rowOff>176212</xdr:rowOff>
    </xdr:from>
    <xdr:to>
      <xdr:col>18</xdr:col>
      <xdr:colOff>428259</xdr:colOff>
      <xdr:row>640</xdr:row>
      <xdr:rowOff>61912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9E92498-48EF-4B6A-92BC-9D1525E38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</xdr:col>
      <xdr:colOff>123458</xdr:colOff>
      <xdr:row>652</xdr:row>
      <xdr:rowOff>176212</xdr:rowOff>
    </xdr:from>
    <xdr:to>
      <xdr:col>18</xdr:col>
      <xdr:colOff>428259</xdr:colOff>
      <xdr:row>667</xdr:row>
      <xdr:rowOff>61912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44E0D8D-8482-4357-ACF3-1D6F096D7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123458</xdr:colOff>
      <xdr:row>679</xdr:row>
      <xdr:rowOff>176212</xdr:rowOff>
    </xdr:from>
    <xdr:to>
      <xdr:col>18</xdr:col>
      <xdr:colOff>428259</xdr:colOff>
      <xdr:row>694</xdr:row>
      <xdr:rowOff>61912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E8770FC-2B33-47AF-82E9-620DC37AB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123458</xdr:colOff>
      <xdr:row>706</xdr:row>
      <xdr:rowOff>176212</xdr:rowOff>
    </xdr:from>
    <xdr:to>
      <xdr:col>18</xdr:col>
      <xdr:colOff>428259</xdr:colOff>
      <xdr:row>721</xdr:row>
      <xdr:rowOff>61912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4B16DAC-E066-47C2-9CB8-E43A1B86F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11</xdr:col>
      <xdr:colOff>123458</xdr:colOff>
      <xdr:row>733</xdr:row>
      <xdr:rowOff>176212</xdr:rowOff>
    </xdr:from>
    <xdr:to>
      <xdr:col>18</xdr:col>
      <xdr:colOff>428259</xdr:colOff>
      <xdr:row>748</xdr:row>
      <xdr:rowOff>61912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C1659AD-34F1-4582-8FA5-2A6DD2BB5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</xdr:col>
      <xdr:colOff>123458</xdr:colOff>
      <xdr:row>760</xdr:row>
      <xdr:rowOff>176212</xdr:rowOff>
    </xdr:from>
    <xdr:to>
      <xdr:col>18</xdr:col>
      <xdr:colOff>428259</xdr:colOff>
      <xdr:row>775</xdr:row>
      <xdr:rowOff>61912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AF45E32-EB7D-4A7C-A7BF-D5867DF7D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11</xdr:col>
      <xdr:colOff>123458</xdr:colOff>
      <xdr:row>787</xdr:row>
      <xdr:rowOff>176212</xdr:rowOff>
    </xdr:from>
    <xdr:to>
      <xdr:col>18</xdr:col>
      <xdr:colOff>428259</xdr:colOff>
      <xdr:row>802</xdr:row>
      <xdr:rowOff>61912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9EACF34-3A70-4F2D-9117-C4D054CB1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11</xdr:col>
      <xdr:colOff>123458</xdr:colOff>
      <xdr:row>814</xdr:row>
      <xdr:rowOff>176212</xdr:rowOff>
    </xdr:from>
    <xdr:to>
      <xdr:col>18</xdr:col>
      <xdr:colOff>428259</xdr:colOff>
      <xdr:row>829</xdr:row>
      <xdr:rowOff>61912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1EC9233-CB3A-448D-8770-227BB46C5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11</xdr:col>
      <xdr:colOff>123458</xdr:colOff>
      <xdr:row>841</xdr:row>
      <xdr:rowOff>176212</xdr:rowOff>
    </xdr:from>
    <xdr:to>
      <xdr:col>18</xdr:col>
      <xdr:colOff>428259</xdr:colOff>
      <xdr:row>856</xdr:row>
      <xdr:rowOff>61912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EAC6B4E-D2D8-45F5-9EFD-3576506A1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11</xdr:col>
      <xdr:colOff>123458</xdr:colOff>
      <xdr:row>868</xdr:row>
      <xdr:rowOff>176212</xdr:rowOff>
    </xdr:from>
    <xdr:to>
      <xdr:col>18</xdr:col>
      <xdr:colOff>428259</xdr:colOff>
      <xdr:row>883</xdr:row>
      <xdr:rowOff>61912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90103FE-F79B-4C2F-88C9-E1AA10063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11</xdr:col>
      <xdr:colOff>123458</xdr:colOff>
      <xdr:row>895</xdr:row>
      <xdr:rowOff>176212</xdr:rowOff>
    </xdr:from>
    <xdr:to>
      <xdr:col>18</xdr:col>
      <xdr:colOff>428259</xdr:colOff>
      <xdr:row>910</xdr:row>
      <xdr:rowOff>61912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B05A384-9CB3-4782-88A4-E056690FB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11</xdr:col>
      <xdr:colOff>123458</xdr:colOff>
      <xdr:row>922</xdr:row>
      <xdr:rowOff>176212</xdr:rowOff>
    </xdr:from>
    <xdr:to>
      <xdr:col>18</xdr:col>
      <xdr:colOff>428259</xdr:colOff>
      <xdr:row>937</xdr:row>
      <xdr:rowOff>61912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B97A7952-F1CB-4F3C-BF58-D8BE7BB5C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11</xdr:col>
      <xdr:colOff>123458</xdr:colOff>
      <xdr:row>949</xdr:row>
      <xdr:rowOff>176212</xdr:rowOff>
    </xdr:from>
    <xdr:to>
      <xdr:col>18</xdr:col>
      <xdr:colOff>428259</xdr:colOff>
      <xdr:row>964</xdr:row>
      <xdr:rowOff>61912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21CB14BB-0B75-448C-AE63-4020B3B58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11</xdr:col>
      <xdr:colOff>123458</xdr:colOff>
      <xdr:row>976</xdr:row>
      <xdr:rowOff>176212</xdr:rowOff>
    </xdr:from>
    <xdr:to>
      <xdr:col>18</xdr:col>
      <xdr:colOff>428259</xdr:colOff>
      <xdr:row>991</xdr:row>
      <xdr:rowOff>61912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C4644C4-69E9-48F0-A446-B6B5AC986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11</xdr:col>
      <xdr:colOff>123458</xdr:colOff>
      <xdr:row>1003</xdr:row>
      <xdr:rowOff>176212</xdr:rowOff>
    </xdr:from>
    <xdr:to>
      <xdr:col>18</xdr:col>
      <xdr:colOff>428259</xdr:colOff>
      <xdr:row>1018</xdr:row>
      <xdr:rowOff>61912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1D2305E-C937-4DFA-BF09-7B1628238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11</xdr:col>
      <xdr:colOff>123458</xdr:colOff>
      <xdr:row>1030</xdr:row>
      <xdr:rowOff>176212</xdr:rowOff>
    </xdr:from>
    <xdr:to>
      <xdr:col>18</xdr:col>
      <xdr:colOff>428259</xdr:colOff>
      <xdr:row>1045</xdr:row>
      <xdr:rowOff>61912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54DE802-ADF7-418F-9C87-F47A0F642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11</xdr:col>
      <xdr:colOff>123458</xdr:colOff>
      <xdr:row>1057</xdr:row>
      <xdr:rowOff>176212</xdr:rowOff>
    </xdr:from>
    <xdr:to>
      <xdr:col>18</xdr:col>
      <xdr:colOff>428259</xdr:colOff>
      <xdr:row>1072</xdr:row>
      <xdr:rowOff>61912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3900E509-C4E0-4023-AC9C-A3BE9248B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22</xdr:row>
      <xdr:rowOff>0</xdr:rowOff>
    </xdr:from>
    <xdr:to>
      <xdr:col>19</xdr:col>
      <xdr:colOff>247650</xdr:colOff>
      <xdr:row>33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35DC08-8375-7E0A-D816-614ECFF87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5743575"/>
          <a:ext cx="5705475" cy="3648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161925</xdr:colOff>
      <xdr:row>4</xdr:row>
      <xdr:rowOff>0</xdr:rowOff>
    </xdr:from>
    <xdr:to>
      <xdr:col>19</xdr:col>
      <xdr:colOff>381000</xdr:colOff>
      <xdr:row>15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9BF8D66-D306-30F6-3FC2-4F59522C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771525"/>
          <a:ext cx="5705475" cy="3638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39</xdr:row>
          <xdr:rowOff>28575</xdr:rowOff>
        </xdr:from>
        <xdr:to>
          <xdr:col>13</xdr:col>
          <xdr:colOff>104775</xdr:colOff>
          <xdr:row>58</xdr:row>
          <xdr:rowOff>57150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E3A9E827-49BC-26A8-60F0-7B8207451D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3:$I$33" spid="_x0000_s413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3752850" y="10553700"/>
              <a:ext cx="5705475" cy="36480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chool\CIS%20537\Final%20Project\charts\all%20tables-20260422T075347Z-3-001\5%20runtime-20260423T181226Z-3-001\.5%20runtime\40pct%20load\AVG_TOPO_leaf_spine_128_100G_OS2_LOAD_40_FC_Lossless.csv" TargetMode="External"/><Relationship Id="rId1" Type="http://schemas.openxmlformats.org/officeDocument/2006/relationships/externalLinkPath" Target="all%20tables-20260422T075347Z-3-001/5%20runtime-20260423T181226Z-3-001/.5%20runtime/40pct%20load/AVG_TOPO_leaf_spine_128_100G_OS2_LOAD_40_FC_Lossles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G_TOPO_leaf_spine_128_100G_OS"/>
    </sheetNames>
    <sheetDataSet>
      <sheetData sheetId="0">
        <row r="2">
          <cell r="B2">
            <v>1.3903089193846101</v>
          </cell>
        </row>
        <row r="3">
          <cell r="B3">
            <v>1.39584266953846</v>
          </cell>
        </row>
        <row r="4">
          <cell r="B4">
            <v>1.3947212572307599</v>
          </cell>
        </row>
        <row r="5">
          <cell r="B5">
            <v>1.4004248326153801</v>
          </cell>
        </row>
        <row r="6">
          <cell r="B6">
            <v>1.4117329526153799</v>
          </cell>
        </row>
        <row r="7">
          <cell r="B7">
            <v>1.42072806276923</v>
          </cell>
        </row>
        <row r="8">
          <cell r="B8">
            <v>1.41401307876922</v>
          </cell>
        </row>
        <row r="9">
          <cell r="B9">
            <v>1.44676191815384</v>
          </cell>
        </row>
        <row r="10">
          <cell r="B10">
            <v>1.4986440264615299</v>
          </cell>
        </row>
        <row r="11">
          <cell r="B11">
            <v>3.3669588319999901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110B-7CD4-41E3-BEE7-74AAF83F2168}">
  <dimension ref="A1:AD1083"/>
  <sheetViews>
    <sheetView topLeftCell="D1" zoomScale="85" zoomScaleNormal="85" workbookViewId="0">
      <selection activeCell="AD1" sqref="AD1"/>
    </sheetView>
  </sheetViews>
  <sheetFormatPr defaultRowHeight="15" x14ac:dyDescent="0.25"/>
  <cols>
    <col min="25" max="25" width="13.28515625" customWidth="1"/>
    <col min="26" max="26" width="13.28515625" bestFit="1" customWidth="1"/>
    <col min="27" max="27" width="18.42578125" customWidth="1"/>
  </cols>
  <sheetData>
    <row r="1" spans="1:30" x14ac:dyDescent="0.25">
      <c r="A1" s="6" t="s">
        <v>26</v>
      </c>
      <c r="B1" s="6"/>
      <c r="W1" t="s">
        <v>23</v>
      </c>
      <c r="X1" t="s">
        <v>24</v>
      </c>
      <c r="Y1" t="s">
        <v>25</v>
      </c>
      <c r="AA1" t="s">
        <v>80</v>
      </c>
      <c r="AD1" s="2">
        <f>AVERAGE(U219:U238,U246:U265,U381:U400,U408:U427,U763:U782,U790:U809,U925:U944,U952:U971)</f>
        <v>1.1888823970144651</v>
      </c>
    </row>
    <row r="2" spans="1:30" x14ac:dyDescent="0.25">
      <c r="AA2" t="s">
        <v>79</v>
      </c>
      <c r="AD2" s="2">
        <f>MIN(U219:U238,U246:U265,U381:U400,U408:U427,U763:U782,U790:U809,U925:U944,U952:U971)</f>
        <v>7.4609699758211884E-2</v>
      </c>
    </row>
    <row r="3" spans="1:30" x14ac:dyDescent="0.25">
      <c r="A3" t="s">
        <v>1</v>
      </c>
      <c r="B3" t="s">
        <v>12</v>
      </c>
      <c r="C3" t="s">
        <v>13</v>
      </c>
      <c r="E3" t="s">
        <v>15</v>
      </c>
      <c r="I3" t="s">
        <v>16</v>
      </c>
      <c r="J3" t="s">
        <v>17</v>
      </c>
      <c r="K3" t="s">
        <v>18</v>
      </c>
      <c r="U3" s="1">
        <f t="shared" ref="U3:U12" si="0">J4</f>
        <v>6.2709547355520121E-3</v>
      </c>
      <c r="W3" s="2">
        <f>O17</f>
        <v>1.376894794164057E-3</v>
      </c>
      <c r="X3" s="2">
        <f>O18</f>
        <v>0.14119408465926264</v>
      </c>
      <c r="Y3" s="2">
        <f>O19</f>
        <v>1.8385434438664555E-2</v>
      </c>
      <c r="AA3" t="s">
        <v>81</v>
      </c>
      <c r="AD3" s="2">
        <f>MAX(U219:U238,U246:U265,U381:U400,U408:U427,U763:U782,U790:U809,U925:U944,U952:U971)</f>
        <v>3.4707342823663163</v>
      </c>
    </row>
    <row r="4" spans="1:30" x14ac:dyDescent="0.25">
      <c r="A4" t="s">
        <v>2</v>
      </c>
      <c r="B4" s="3">
        <v>1.0228120224874899</v>
      </c>
      <c r="C4" s="3">
        <v>1.0164379858865</v>
      </c>
      <c r="D4">
        <f t="shared" ref="D4:D13" si="1">B4-C4</f>
        <v>6.3740366009898963E-3</v>
      </c>
      <c r="E4" s="1">
        <f t="shared" ref="E4:E13" si="2">D4/C4</f>
        <v>6.2709547355520121E-3</v>
      </c>
      <c r="I4" t="s">
        <v>2</v>
      </c>
      <c r="J4" s="1">
        <f t="shared" ref="J4:J13" si="3">E4</f>
        <v>6.2709547355520121E-3</v>
      </c>
      <c r="K4" s="1">
        <f t="shared" ref="K4:K13" si="4">E17</f>
        <v>7.1371327753093584E-3</v>
      </c>
      <c r="U4" s="1">
        <f t="shared" si="0"/>
        <v>5.7063296596700057E-3</v>
      </c>
    </row>
    <row r="5" spans="1:30" x14ac:dyDescent="0.25">
      <c r="A5" t="s">
        <v>3</v>
      </c>
      <c r="B5" s="3">
        <v>1.0264394683509099</v>
      </c>
      <c r="C5" s="3">
        <v>1.0206154998529799</v>
      </c>
      <c r="D5">
        <f t="shared" si="1"/>
        <v>5.8239684979299877E-3</v>
      </c>
      <c r="E5" s="1">
        <f t="shared" si="2"/>
        <v>5.7063296596700057E-3</v>
      </c>
      <c r="I5" t="s">
        <v>3</v>
      </c>
      <c r="J5" s="1">
        <f t="shared" si="3"/>
        <v>5.7063296596700057E-3</v>
      </c>
      <c r="K5" s="1">
        <f t="shared" si="4"/>
        <v>8.5019830779369098E-3</v>
      </c>
      <c r="U5" s="1">
        <f t="shared" si="0"/>
        <v>2.5572066259563647E-3</v>
      </c>
    </row>
    <row r="6" spans="1:30" x14ac:dyDescent="0.25">
      <c r="A6" t="s">
        <v>4</v>
      </c>
      <c r="B6" s="3">
        <v>1.02713025818989</v>
      </c>
      <c r="C6" s="3">
        <v>1.02451037347448</v>
      </c>
      <c r="D6">
        <f t="shared" si="1"/>
        <v>2.6198847154099703E-3</v>
      </c>
      <c r="E6" s="1">
        <f t="shared" si="2"/>
        <v>2.5572066259563647E-3</v>
      </c>
      <c r="I6" t="s">
        <v>4</v>
      </c>
      <c r="J6" s="1">
        <f t="shared" si="3"/>
        <v>2.5572066259563647E-3</v>
      </c>
      <c r="K6" s="1">
        <f t="shared" si="4"/>
        <v>3.8083700963104086E-3</v>
      </c>
      <c r="U6" s="1">
        <f t="shared" si="0"/>
        <v>6.3345234274351531E-3</v>
      </c>
    </row>
    <row r="7" spans="1:30" x14ac:dyDescent="0.25">
      <c r="A7" t="s">
        <v>5</v>
      </c>
      <c r="B7" s="3">
        <v>1.0334698278734</v>
      </c>
      <c r="C7" s="3">
        <v>1.0269644972067</v>
      </c>
      <c r="D7">
        <f t="shared" si="1"/>
        <v>6.5053306667000044E-3</v>
      </c>
      <c r="E7" s="1">
        <f t="shared" si="2"/>
        <v>6.3345234274351531E-3</v>
      </c>
      <c r="I7" t="s">
        <v>5</v>
      </c>
      <c r="J7" s="1">
        <f t="shared" si="3"/>
        <v>6.3345234274351531E-3</v>
      </c>
      <c r="K7" s="1">
        <f t="shared" si="4"/>
        <v>5.9792506678777221E-3</v>
      </c>
      <c r="U7" s="1">
        <f t="shared" si="0"/>
        <v>2.3978920459570945E-3</v>
      </c>
    </row>
    <row r="8" spans="1:30" x14ac:dyDescent="0.25">
      <c r="A8" t="s">
        <v>6</v>
      </c>
      <c r="B8" s="3">
        <v>1.0312299958356399</v>
      </c>
      <c r="C8" s="3">
        <v>1.0287631329020801</v>
      </c>
      <c r="D8">
        <f t="shared" si="1"/>
        <v>2.4668629335597991E-3</v>
      </c>
      <c r="E8" s="1">
        <f t="shared" si="2"/>
        <v>2.3978920459570945E-3</v>
      </c>
      <c r="I8" t="s">
        <v>6</v>
      </c>
      <c r="J8" s="1">
        <f t="shared" si="3"/>
        <v>2.3978920459570945E-3</v>
      </c>
      <c r="K8" s="1">
        <f t="shared" si="4"/>
        <v>6.9002060566605008E-3</v>
      </c>
      <c r="U8" s="1">
        <f t="shared" si="0"/>
        <v>5.1624810785252835E-3</v>
      </c>
    </row>
    <row r="9" spans="1:30" x14ac:dyDescent="0.25">
      <c r="A9" t="s">
        <v>7</v>
      </c>
      <c r="B9" s="3">
        <v>1.0345194669627999</v>
      </c>
      <c r="C9" s="3">
        <v>1.02920620938097</v>
      </c>
      <c r="D9">
        <f t="shared" si="1"/>
        <v>5.3132575818299888E-3</v>
      </c>
      <c r="E9" s="1">
        <f t="shared" si="2"/>
        <v>5.1624810785252835E-3</v>
      </c>
      <c r="I9" t="s">
        <v>7</v>
      </c>
      <c r="J9" s="1">
        <f t="shared" si="3"/>
        <v>5.1624810785252835E-3</v>
      </c>
      <c r="K9" s="1">
        <f t="shared" si="4"/>
        <v>7.2504019275672375E-3</v>
      </c>
      <c r="U9" s="1">
        <f t="shared" si="0"/>
        <v>7.9614986803107374E-3</v>
      </c>
    </row>
    <row r="10" spans="1:30" x14ac:dyDescent="0.25">
      <c r="A10" t="s">
        <v>8</v>
      </c>
      <c r="B10" s="3">
        <v>1.03667974732749</v>
      </c>
      <c r="C10" s="3">
        <v>1.02849141428991</v>
      </c>
      <c r="D10">
        <f t="shared" si="1"/>
        <v>8.1883330375800423E-3</v>
      </c>
      <c r="E10" s="1">
        <f t="shared" si="2"/>
        <v>7.9614986803107374E-3</v>
      </c>
      <c r="I10" t="s">
        <v>8</v>
      </c>
      <c r="J10" s="1">
        <f t="shared" si="3"/>
        <v>7.9614986803107374E-3</v>
      </c>
      <c r="K10" s="1">
        <f t="shared" si="4"/>
        <v>7.1779780884772323E-3</v>
      </c>
      <c r="U10" s="1">
        <f t="shared" si="0"/>
        <v>6.6926193130692254E-3</v>
      </c>
    </row>
    <row r="11" spans="1:30" x14ac:dyDescent="0.25">
      <c r="A11" t="s">
        <v>9</v>
      </c>
      <c r="B11" s="3">
        <v>1.04878080233203</v>
      </c>
      <c r="C11" s="3">
        <v>1.04180837547779</v>
      </c>
      <c r="D11">
        <f t="shared" si="1"/>
        <v>6.9724268542399326E-3</v>
      </c>
      <c r="E11" s="1">
        <f t="shared" si="2"/>
        <v>6.6926193130692254E-3</v>
      </c>
      <c r="I11" t="s">
        <v>9</v>
      </c>
      <c r="J11" s="1">
        <f t="shared" si="3"/>
        <v>6.6926193130692254E-3</v>
      </c>
      <c r="K11" s="1">
        <f t="shared" si="4"/>
        <v>6.0049248870943763E-3</v>
      </c>
      <c r="U11" s="1">
        <f t="shared" si="0"/>
        <v>5.7123448705551734E-3</v>
      </c>
    </row>
    <row r="12" spans="1:30" x14ac:dyDescent="0.25">
      <c r="A12" t="s">
        <v>10</v>
      </c>
      <c r="B12" s="3">
        <v>1.0681217379233701</v>
      </c>
      <c r="C12" s="3">
        <v>1.06205491398323</v>
      </c>
      <c r="D12">
        <f t="shared" si="1"/>
        <v>6.0668239401400204E-3</v>
      </c>
      <c r="E12" s="1">
        <f t="shared" si="2"/>
        <v>5.7123448705551734E-3</v>
      </c>
      <c r="I12" t="s">
        <v>10</v>
      </c>
      <c r="J12" s="1">
        <f t="shared" si="3"/>
        <v>5.7123448705551734E-3</v>
      </c>
      <c r="K12" s="1">
        <f t="shared" si="4"/>
        <v>1.376894794164057E-3</v>
      </c>
      <c r="U12" s="1">
        <f t="shared" si="0"/>
        <v>0.12358161130559966</v>
      </c>
    </row>
    <row r="13" spans="1:30" x14ac:dyDescent="0.25">
      <c r="A13" t="s">
        <v>11</v>
      </c>
      <c r="B13" s="3">
        <v>1.5606305413659001</v>
      </c>
      <c r="C13" s="3">
        <v>1.38897835783593</v>
      </c>
      <c r="D13">
        <f t="shared" si="1"/>
        <v>0.17165218352997003</v>
      </c>
      <c r="E13" s="1">
        <f t="shared" si="2"/>
        <v>0.12358161130559966</v>
      </c>
      <c r="I13" t="s">
        <v>11</v>
      </c>
      <c r="J13" s="1">
        <f t="shared" si="3"/>
        <v>0.12358161130559966</v>
      </c>
      <c r="K13" s="1">
        <f t="shared" si="4"/>
        <v>0.14119408465926264</v>
      </c>
      <c r="U13" s="1">
        <f t="shared" ref="U13:U22" si="5">K4</f>
        <v>7.1371327753093584E-3</v>
      </c>
    </row>
    <row r="14" spans="1:30" x14ac:dyDescent="0.25">
      <c r="U14" s="1">
        <f t="shared" si="5"/>
        <v>8.5019830779369098E-3</v>
      </c>
    </row>
    <row r="15" spans="1:30" x14ac:dyDescent="0.25">
      <c r="U15" s="1">
        <f t="shared" si="5"/>
        <v>3.8083700963104086E-3</v>
      </c>
    </row>
    <row r="16" spans="1:30" x14ac:dyDescent="0.25">
      <c r="A16" t="s">
        <v>1</v>
      </c>
      <c r="B16" t="s">
        <v>14</v>
      </c>
      <c r="C16" t="s">
        <v>13</v>
      </c>
      <c r="I16" t="s">
        <v>19</v>
      </c>
      <c r="J16" s="2">
        <f>AVERAGE(J4:J13)</f>
        <v>1.7237746174263071E-2</v>
      </c>
      <c r="K16" s="2">
        <f>AVERAGE(K4:K13)</f>
        <v>1.9533122703066043E-2</v>
      </c>
      <c r="U16" s="1">
        <f t="shared" si="5"/>
        <v>5.9792506678777221E-3</v>
      </c>
    </row>
    <row r="17" spans="1:25" x14ac:dyDescent="0.25">
      <c r="A17" t="s">
        <v>2</v>
      </c>
      <c r="B17" s="3">
        <v>1.02369243874964</v>
      </c>
      <c r="C17" s="3">
        <v>1.0164379858865</v>
      </c>
      <c r="D17">
        <f t="shared" ref="D17:D26" si="6">B17-C17</f>
        <v>7.2544528631399707E-3</v>
      </c>
      <c r="E17" s="1">
        <f t="shared" ref="E17:E26" si="7">D17/C17</f>
        <v>7.1371327753093584E-3</v>
      </c>
      <c r="N17" t="s">
        <v>20</v>
      </c>
      <c r="O17" s="2">
        <f>MIN(U3:U22)</f>
        <v>1.376894794164057E-3</v>
      </c>
      <c r="U17" s="1">
        <f t="shared" si="5"/>
        <v>6.9002060566605008E-3</v>
      </c>
    </row>
    <row r="18" spans="1:25" x14ac:dyDescent="0.25">
      <c r="A18" t="s">
        <v>3</v>
      </c>
      <c r="B18" s="3">
        <v>1.0292927555618101</v>
      </c>
      <c r="C18" s="3">
        <v>1.0206154998529799</v>
      </c>
      <c r="D18">
        <f t="shared" si="6"/>
        <v>8.6772557088301561E-3</v>
      </c>
      <c r="E18" s="1">
        <f t="shared" si="7"/>
        <v>8.5019830779369098E-3</v>
      </c>
      <c r="N18" t="s">
        <v>21</v>
      </c>
      <c r="O18" s="2">
        <f>MAX(U3:U22)</f>
        <v>0.14119408465926264</v>
      </c>
      <c r="U18" s="1">
        <f t="shared" si="5"/>
        <v>7.2504019275672375E-3</v>
      </c>
    </row>
    <row r="19" spans="1:25" x14ac:dyDescent="0.25">
      <c r="A19" t="s">
        <v>4</v>
      </c>
      <c r="B19" s="3">
        <v>1.0284120881441801</v>
      </c>
      <c r="C19" s="3">
        <v>1.02451037347448</v>
      </c>
      <c r="D19">
        <f t="shared" si="6"/>
        <v>3.9017146697000182E-3</v>
      </c>
      <c r="E19" s="1">
        <f t="shared" si="7"/>
        <v>3.8083700963104086E-3</v>
      </c>
      <c r="N19" t="s">
        <v>22</v>
      </c>
      <c r="O19" s="2">
        <f>AVERAGE(U3:U22)</f>
        <v>1.8385434438664555E-2</v>
      </c>
      <c r="U19" s="1">
        <f t="shared" si="5"/>
        <v>7.1779780884772323E-3</v>
      </c>
    </row>
    <row r="20" spans="1:25" x14ac:dyDescent="0.25">
      <c r="A20" t="s">
        <v>5</v>
      </c>
      <c r="B20" s="3">
        <v>1.0331049753625099</v>
      </c>
      <c r="C20" s="3">
        <v>1.0269644972067</v>
      </c>
      <c r="D20">
        <f t="shared" si="6"/>
        <v>6.1404781558098698E-3</v>
      </c>
      <c r="E20" s="1">
        <f t="shared" si="7"/>
        <v>5.9792506678777221E-3</v>
      </c>
      <c r="U20" s="1">
        <f t="shared" si="5"/>
        <v>6.0049248870943763E-3</v>
      </c>
    </row>
    <row r="21" spans="1:25" x14ac:dyDescent="0.25">
      <c r="A21" t="s">
        <v>6</v>
      </c>
      <c r="B21" s="3">
        <v>1.0358618105026001</v>
      </c>
      <c r="C21" s="3">
        <v>1.0287631329020801</v>
      </c>
      <c r="D21">
        <f t="shared" si="6"/>
        <v>7.0986776005199648E-3</v>
      </c>
      <c r="E21" s="1">
        <f t="shared" si="7"/>
        <v>6.9002060566605008E-3</v>
      </c>
      <c r="U21" s="1">
        <f t="shared" si="5"/>
        <v>1.376894794164057E-3</v>
      </c>
    </row>
    <row r="22" spans="1:25" x14ac:dyDescent="0.25">
      <c r="A22" t="s">
        <v>7</v>
      </c>
      <c r="B22" s="3">
        <v>1.0366683680653299</v>
      </c>
      <c r="C22" s="3">
        <v>1.02920620938097</v>
      </c>
      <c r="D22">
        <f t="shared" si="6"/>
        <v>7.4621586843599541E-3</v>
      </c>
      <c r="E22" s="1">
        <f t="shared" si="7"/>
        <v>7.2504019275672375E-3</v>
      </c>
      <c r="U22" s="1">
        <f t="shared" si="5"/>
        <v>0.14119408465926264</v>
      </c>
    </row>
    <row r="23" spans="1:25" x14ac:dyDescent="0.25">
      <c r="A23" t="s">
        <v>8</v>
      </c>
      <c r="B23" s="3">
        <v>1.0358739031258699</v>
      </c>
      <c r="C23" s="3">
        <v>1.02849141428991</v>
      </c>
      <c r="D23">
        <f t="shared" si="6"/>
        <v>7.3824888359599328E-3</v>
      </c>
      <c r="E23" s="1">
        <f t="shared" si="7"/>
        <v>7.1779780884772323E-3</v>
      </c>
    </row>
    <row r="24" spans="1:25" x14ac:dyDescent="0.25">
      <c r="A24" t="s">
        <v>9</v>
      </c>
      <c r="B24" s="3">
        <v>1.04806435651928</v>
      </c>
      <c r="C24" s="3">
        <v>1.04180837547779</v>
      </c>
      <c r="D24">
        <f t="shared" si="6"/>
        <v>6.2559810414899442E-3</v>
      </c>
      <c r="E24" s="1">
        <f t="shared" si="7"/>
        <v>6.0049248870943763E-3</v>
      </c>
    </row>
    <row r="25" spans="1:25" x14ac:dyDescent="0.25">
      <c r="A25" t="s">
        <v>10</v>
      </c>
      <c r="B25" s="3">
        <v>1.0635172518654099</v>
      </c>
      <c r="C25" s="3">
        <v>1.06205491398323</v>
      </c>
      <c r="D25">
        <f t="shared" si="6"/>
        <v>1.4623378821798649E-3</v>
      </c>
      <c r="E25" s="1">
        <f t="shared" si="7"/>
        <v>1.376894794164057E-3</v>
      </c>
    </row>
    <row r="26" spans="1:25" x14ac:dyDescent="0.25">
      <c r="A26" t="s">
        <v>11</v>
      </c>
      <c r="B26" s="3">
        <v>1.5850938856821</v>
      </c>
      <c r="C26" s="3">
        <v>1.38897835783593</v>
      </c>
      <c r="D26">
        <f t="shared" si="6"/>
        <v>0.19611552784616992</v>
      </c>
      <c r="E26" s="1">
        <f t="shared" si="7"/>
        <v>0.14119408465926264</v>
      </c>
    </row>
    <row r="28" spans="1:25" x14ac:dyDescent="0.25">
      <c r="A28" s="6" t="s">
        <v>27</v>
      </c>
      <c r="B28" s="6"/>
    </row>
    <row r="30" spans="1:25" x14ac:dyDescent="0.25">
      <c r="A30" t="s">
        <v>1</v>
      </c>
      <c r="B30" t="s">
        <v>12</v>
      </c>
      <c r="C30" t="s">
        <v>13</v>
      </c>
      <c r="E30" t="s">
        <v>15</v>
      </c>
      <c r="I30" t="s">
        <v>16</v>
      </c>
      <c r="J30" t="s">
        <v>17</v>
      </c>
      <c r="K30" t="s">
        <v>18</v>
      </c>
      <c r="U30" s="1">
        <f t="shared" ref="U30:U39" si="8">J31</f>
        <v>7.7993816557883927E-2</v>
      </c>
      <c r="W30" s="2">
        <f>O44</f>
        <v>3.3336839434981363E-2</v>
      </c>
      <c r="X30" s="2">
        <f>O45</f>
        <v>0.32356377430061639</v>
      </c>
      <c r="Y30" s="2">
        <f>O46</f>
        <v>0.12764358305150331</v>
      </c>
    </row>
    <row r="31" spans="1:25" x14ac:dyDescent="0.25">
      <c r="A31" t="s">
        <v>2</v>
      </c>
      <c r="B31">
        <v>1.5690200000000001</v>
      </c>
      <c r="C31">
        <v>1.4555</v>
      </c>
      <c r="D31">
        <f t="shared" ref="D31:D40" si="9">B31-C31</f>
        <v>0.11352000000000007</v>
      </c>
      <c r="E31" s="1">
        <f t="shared" ref="E31:E40" si="10">D31/C31</f>
        <v>7.7993816557883927E-2</v>
      </c>
      <c r="I31" t="s">
        <v>2</v>
      </c>
      <c r="J31" s="1">
        <f t="shared" ref="J31:J40" si="11">E31</f>
        <v>7.7993816557883927E-2</v>
      </c>
      <c r="K31" s="1">
        <f t="shared" ref="K31:K40" si="12">E44</f>
        <v>0.13897629680522158</v>
      </c>
      <c r="U31" s="1">
        <f t="shared" si="8"/>
        <v>0.11701060672675304</v>
      </c>
    </row>
    <row r="32" spans="1:25" x14ac:dyDescent="0.25">
      <c r="A32" t="s">
        <v>3</v>
      </c>
      <c r="B32">
        <v>1.62601</v>
      </c>
      <c r="C32">
        <v>1.4556800000000001</v>
      </c>
      <c r="D32">
        <f t="shared" si="9"/>
        <v>0.17032999999999987</v>
      </c>
      <c r="E32" s="1">
        <f t="shared" si="10"/>
        <v>0.11701060672675304</v>
      </c>
      <c r="I32" t="s">
        <v>3</v>
      </c>
      <c r="J32" s="1">
        <f t="shared" si="11"/>
        <v>0.11701060672675304</v>
      </c>
      <c r="K32" s="1">
        <f t="shared" si="12"/>
        <v>0.15074741701472841</v>
      </c>
      <c r="U32" s="1">
        <f t="shared" si="8"/>
        <v>6.8318487740770706E-2</v>
      </c>
    </row>
    <row r="33" spans="1:21" x14ac:dyDescent="0.25">
      <c r="A33" t="s">
        <v>4</v>
      </c>
      <c r="B33">
        <v>1.60955</v>
      </c>
      <c r="C33">
        <v>1.5066200000000001</v>
      </c>
      <c r="D33">
        <f t="shared" si="9"/>
        <v>0.10292999999999997</v>
      </c>
      <c r="E33" s="1">
        <f t="shared" si="10"/>
        <v>6.8318487740770706E-2</v>
      </c>
      <c r="I33" t="s">
        <v>4</v>
      </c>
      <c r="J33" s="1">
        <f t="shared" si="11"/>
        <v>6.8318487740770706E-2</v>
      </c>
      <c r="K33" s="1">
        <f t="shared" si="12"/>
        <v>0.12130464217918256</v>
      </c>
      <c r="U33" s="1">
        <f t="shared" si="8"/>
        <v>0.1330213458128342</v>
      </c>
    </row>
    <row r="34" spans="1:21" x14ac:dyDescent="0.25">
      <c r="A34" t="s">
        <v>5</v>
      </c>
      <c r="B34">
        <v>1.6996</v>
      </c>
      <c r="C34">
        <v>1.5000599999999999</v>
      </c>
      <c r="D34">
        <f t="shared" si="9"/>
        <v>0.19954000000000005</v>
      </c>
      <c r="E34" s="1">
        <f t="shared" si="10"/>
        <v>0.1330213458128342</v>
      </c>
      <c r="I34" t="s">
        <v>5</v>
      </c>
      <c r="J34" s="1">
        <f t="shared" si="11"/>
        <v>0.1330213458128342</v>
      </c>
      <c r="K34" s="1">
        <f t="shared" si="12"/>
        <v>7.4763676119621869E-2</v>
      </c>
      <c r="U34" s="1">
        <f t="shared" si="8"/>
        <v>4.3213474564347876E-2</v>
      </c>
    </row>
    <row r="35" spans="1:21" x14ac:dyDescent="0.25">
      <c r="A35" t="s">
        <v>6</v>
      </c>
      <c r="B35">
        <v>1.5570900000000001</v>
      </c>
      <c r="C35">
        <v>1.4925900000000001</v>
      </c>
      <c r="D35">
        <f t="shared" si="9"/>
        <v>6.4500000000000002E-2</v>
      </c>
      <c r="E35" s="1">
        <f t="shared" si="10"/>
        <v>4.3213474564347876E-2</v>
      </c>
      <c r="I35" t="s">
        <v>6</v>
      </c>
      <c r="J35" s="1">
        <f t="shared" si="11"/>
        <v>4.3213474564347876E-2</v>
      </c>
      <c r="K35" s="1">
        <f t="shared" si="12"/>
        <v>0.12279326539773137</v>
      </c>
      <c r="U35" s="1">
        <f t="shared" si="8"/>
        <v>8.024290169046451E-2</v>
      </c>
    </row>
    <row r="36" spans="1:21" x14ac:dyDescent="0.25">
      <c r="A36" t="s">
        <v>7</v>
      </c>
      <c r="B36">
        <v>1.6454800000000001</v>
      </c>
      <c r="C36">
        <v>1.52325</v>
      </c>
      <c r="D36">
        <f t="shared" si="9"/>
        <v>0.12223000000000006</v>
      </c>
      <c r="E36" s="1">
        <f t="shared" si="10"/>
        <v>8.024290169046451E-2</v>
      </c>
      <c r="I36" t="s">
        <v>7</v>
      </c>
      <c r="J36" s="1">
        <f t="shared" si="11"/>
        <v>8.024290169046451E-2</v>
      </c>
      <c r="K36" s="1">
        <f t="shared" si="12"/>
        <v>0.10799277859839165</v>
      </c>
      <c r="U36" s="1">
        <f t="shared" si="8"/>
        <v>0.19278930276431652</v>
      </c>
    </row>
    <row r="37" spans="1:21" x14ac:dyDescent="0.25">
      <c r="A37" t="s">
        <v>8</v>
      </c>
      <c r="B37">
        <v>1.6565099999999999</v>
      </c>
      <c r="C37">
        <v>1.3887700000000001</v>
      </c>
      <c r="D37">
        <f t="shared" si="9"/>
        <v>0.26773999999999987</v>
      </c>
      <c r="E37" s="1">
        <f t="shared" si="10"/>
        <v>0.19278930276431652</v>
      </c>
      <c r="I37" t="s">
        <v>8</v>
      </c>
      <c r="J37" s="1">
        <f t="shared" si="11"/>
        <v>0.19278930276431652</v>
      </c>
      <c r="K37" s="1">
        <f t="shared" si="12"/>
        <v>0.16514613650928514</v>
      </c>
      <c r="U37" s="1">
        <f t="shared" si="8"/>
        <v>0.10161465916394501</v>
      </c>
    </row>
    <row r="38" spans="1:21" x14ac:dyDescent="0.25">
      <c r="A38" t="s">
        <v>9</v>
      </c>
      <c r="B38">
        <v>1.6797200000000001</v>
      </c>
      <c r="C38">
        <v>1.52478</v>
      </c>
      <c r="D38">
        <f t="shared" si="9"/>
        <v>0.15494000000000008</v>
      </c>
      <c r="E38" s="1">
        <f t="shared" si="10"/>
        <v>0.10161465916394501</v>
      </c>
      <c r="I38" t="s">
        <v>9</v>
      </c>
      <c r="J38" s="1">
        <f t="shared" si="11"/>
        <v>0.10161465916394501</v>
      </c>
      <c r="K38" s="1">
        <f t="shared" si="12"/>
        <v>0.11230472592767485</v>
      </c>
      <c r="U38" s="1">
        <f t="shared" si="8"/>
        <v>6.4854630838432598E-2</v>
      </c>
    </row>
    <row r="39" spans="1:21" x14ac:dyDescent="0.25">
      <c r="A39" t="s">
        <v>10</v>
      </c>
      <c r="B39">
        <v>1.72105</v>
      </c>
      <c r="C39">
        <v>1.6162300000000001</v>
      </c>
      <c r="D39">
        <f t="shared" si="9"/>
        <v>0.10481999999999991</v>
      </c>
      <c r="E39" s="1">
        <f t="shared" si="10"/>
        <v>6.4854630838432598E-2</v>
      </c>
      <c r="I39" t="s">
        <v>10</v>
      </c>
      <c r="J39" s="1">
        <f t="shared" si="11"/>
        <v>6.4854630838432598E-2</v>
      </c>
      <c r="K39" s="1">
        <f t="shared" si="12"/>
        <v>3.3336839434981363E-2</v>
      </c>
      <c r="U39" s="1">
        <f t="shared" si="8"/>
        <v>0.32356377430061639</v>
      </c>
    </row>
    <row r="40" spans="1:21" x14ac:dyDescent="0.25">
      <c r="A40" t="s">
        <v>11</v>
      </c>
      <c r="B40">
        <v>6.9784899999999999</v>
      </c>
      <c r="C40">
        <v>5.2725</v>
      </c>
      <c r="D40">
        <f t="shared" si="9"/>
        <v>1.7059899999999999</v>
      </c>
      <c r="E40" s="1">
        <f t="shared" si="10"/>
        <v>0.32356377430061639</v>
      </c>
      <c r="I40" t="s">
        <v>11</v>
      </c>
      <c r="J40" s="1">
        <f t="shared" si="11"/>
        <v>0.32356377430061639</v>
      </c>
      <c r="K40" s="1">
        <f t="shared" si="12"/>
        <v>0.32288288288288286</v>
      </c>
      <c r="U40" s="1">
        <f t="shared" ref="U40:U49" si="13">K31</f>
        <v>0.13897629680522158</v>
      </c>
    </row>
    <row r="41" spans="1:21" x14ac:dyDescent="0.25">
      <c r="U41" s="1">
        <f t="shared" si="13"/>
        <v>0.15074741701472841</v>
      </c>
    </row>
    <row r="42" spans="1:21" x14ac:dyDescent="0.25">
      <c r="U42" s="1">
        <f t="shared" si="13"/>
        <v>0.12130464217918256</v>
      </c>
    </row>
    <row r="43" spans="1:21" x14ac:dyDescent="0.25">
      <c r="A43" t="s">
        <v>1</v>
      </c>
      <c r="B43" t="s">
        <v>14</v>
      </c>
      <c r="C43" t="s">
        <v>13</v>
      </c>
      <c r="I43" t="s">
        <v>19</v>
      </c>
      <c r="J43" s="2">
        <f>AVERAGE(J31:J40)</f>
        <v>0.12026230001603647</v>
      </c>
      <c r="K43" s="2">
        <f>AVERAGE(K31:K40)</f>
        <v>0.13502486608697017</v>
      </c>
      <c r="U43" s="1">
        <f t="shared" si="13"/>
        <v>7.4763676119621869E-2</v>
      </c>
    </row>
    <row r="44" spans="1:21" x14ac:dyDescent="0.25">
      <c r="A44" t="s">
        <v>2</v>
      </c>
      <c r="B44">
        <v>1.65778</v>
      </c>
      <c r="C44">
        <v>1.4555</v>
      </c>
      <c r="D44">
        <f t="shared" ref="D44:D53" si="14">B44-C44</f>
        <v>0.20228000000000002</v>
      </c>
      <c r="E44" s="1">
        <f t="shared" ref="E44:E53" si="15">D44/C44</f>
        <v>0.13897629680522158</v>
      </c>
      <c r="N44" t="s">
        <v>20</v>
      </c>
      <c r="O44" s="2">
        <f>MIN(U30:U49)</f>
        <v>3.3336839434981363E-2</v>
      </c>
      <c r="U44" s="1">
        <f t="shared" si="13"/>
        <v>0.12279326539773137</v>
      </c>
    </row>
    <row r="45" spans="1:21" x14ac:dyDescent="0.25">
      <c r="A45" t="s">
        <v>3</v>
      </c>
      <c r="B45">
        <v>1.6751199999999999</v>
      </c>
      <c r="C45">
        <v>1.4556800000000001</v>
      </c>
      <c r="D45">
        <f t="shared" si="14"/>
        <v>0.21943999999999986</v>
      </c>
      <c r="E45" s="1">
        <f t="shared" si="15"/>
        <v>0.15074741701472841</v>
      </c>
      <c r="N45" t="s">
        <v>21</v>
      </c>
      <c r="O45" s="2">
        <f>MAX(U30:U49)</f>
        <v>0.32356377430061639</v>
      </c>
      <c r="U45" s="1">
        <f t="shared" si="13"/>
        <v>0.10799277859839165</v>
      </c>
    </row>
    <row r="46" spans="1:21" x14ac:dyDescent="0.25">
      <c r="A46" t="s">
        <v>4</v>
      </c>
      <c r="B46">
        <v>1.6893800000000001</v>
      </c>
      <c r="C46">
        <v>1.5066200000000001</v>
      </c>
      <c r="D46">
        <f t="shared" si="14"/>
        <v>0.18276000000000003</v>
      </c>
      <c r="E46" s="1">
        <f t="shared" si="15"/>
        <v>0.12130464217918256</v>
      </c>
      <c r="N46" t="s">
        <v>22</v>
      </c>
      <c r="O46" s="2">
        <f>AVERAGE(U30:U49)</f>
        <v>0.12764358305150331</v>
      </c>
      <c r="U46" s="1">
        <f t="shared" si="13"/>
        <v>0.16514613650928514</v>
      </c>
    </row>
    <row r="47" spans="1:21" x14ac:dyDescent="0.25">
      <c r="A47" t="s">
        <v>5</v>
      </c>
      <c r="B47">
        <v>1.6122099999999999</v>
      </c>
      <c r="C47">
        <v>1.5000599999999999</v>
      </c>
      <c r="D47">
        <f t="shared" si="14"/>
        <v>0.11214999999999997</v>
      </c>
      <c r="E47" s="1">
        <f t="shared" si="15"/>
        <v>7.4763676119621869E-2</v>
      </c>
      <c r="U47" s="1">
        <f t="shared" si="13"/>
        <v>0.11230472592767485</v>
      </c>
    </row>
    <row r="48" spans="1:21" x14ac:dyDescent="0.25">
      <c r="A48" t="s">
        <v>6</v>
      </c>
      <c r="B48">
        <v>1.67587</v>
      </c>
      <c r="C48">
        <v>1.4925900000000001</v>
      </c>
      <c r="D48">
        <f t="shared" si="14"/>
        <v>0.18327999999999989</v>
      </c>
      <c r="E48" s="1">
        <f t="shared" si="15"/>
        <v>0.12279326539773137</v>
      </c>
      <c r="U48" s="1">
        <f t="shared" si="13"/>
        <v>3.3336839434981363E-2</v>
      </c>
    </row>
    <row r="49" spans="1:25" x14ac:dyDescent="0.25">
      <c r="A49" t="s">
        <v>7</v>
      </c>
      <c r="B49">
        <v>1.6877500000000001</v>
      </c>
      <c r="C49">
        <v>1.52325</v>
      </c>
      <c r="D49">
        <f t="shared" si="14"/>
        <v>0.16450000000000009</v>
      </c>
      <c r="E49" s="1">
        <f t="shared" si="15"/>
        <v>0.10799277859839165</v>
      </c>
      <c r="U49" s="1">
        <f t="shared" si="13"/>
        <v>0.32288288288288286</v>
      </c>
    </row>
    <row r="50" spans="1:25" x14ac:dyDescent="0.25">
      <c r="A50" t="s">
        <v>8</v>
      </c>
      <c r="B50">
        <v>1.61812</v>
      </c>
      <c r="C50">
        <v>1.3887700000000001</v>
      </c>
      <c r="D50">
        <f t="shared" si="14"/>
        <v>0.22934999999999994</v>
      </c>
      <c r="E50" s="1">
        <f t="shared" si="15"/>
        <v>0.16514613650928514</v>
      </c>
    </row>
    <row r="51" spans="1:25" x14ac:dyDescent="0.25">
      <c r="A51" t="s">
        <v>9</v>
      </c>
      <c r="B51">
        <v>1.6960200000000001</v>
      </c>
      <c r="C51">
        <v>1.52478</v>
      </c>
      <c r="D51">
        <f t="shared" si="14"/>
        <v>0.17124000000000006</v>
      </c>
      <c r="E51" s="1">
        <f t="shared" si="15"/>
        <v>0.11230472592767485</v>
      </c>
    </row>
    <row r="52" spans="1:25" x14ac:dyDescent="0.25">
      <c r="A52" t="s">
        <v>10</v>
      </c>
      <c r="B52">
        <v>1.67011</v>
      </c>
      <c r="C52">
        <v>1.6162300000000001</v>
      </c>
      <c r="D52">
        <f t="shared" si="14"/>
        <v>5.3879999999999928E-2</v>
      </c>
      <c r="E52" s="1">
        <f t="shared" si="15"/>
        <v>3.3336839434981363E-2</v>
      </c>
    </row>
    <row r="53" spans="1:25" x14ac:dyDescent="0.25">
      <c r="A53" t="s">
        <v>11</v>
      </c>
      <c r="B53">
        <v>6.9748999999999999</v>
      </c>
      <c r="C53">
        <v>5.2725</v>
      </c>
      <c r="D53">
        <f t="shared" si="14"/>
        <v>1.7023999999999999</v>
      </c>
      <c r="E53" s="1">
        <f t="shared" si="15"/>
        <v>0.32288288288288286</v>
      </c>
    </row>
    <row r="55" spans="1:25" x14ac:dyDescent="0.25">
      <c r="A55" s="6" t="s">
        <v>28</v>
      </c>
      <c r="B55" s="6"/>
    </row>
    <row r="57" spans="1:25" x14ac:dyDescent="0.25">
      <c r="A57" t="s">
        <v>1</v>
      </c>
      <c r="B57" t="s">
        <v>12</v>
      </c>
      <c r="C57" t="s">
        <v>13</v>
      </c>
      <c r="E57" t="s">
        <v>15</v>
      </c>
      <c r="I57" t="s">
        <v>16</v>
      </c>
      <c r="J57" t="s">
        <v>17</v>
      </c>
      <c r="K57" t="s">
        <v>18</v>
      </c>
      <c r="U57" s="1">
        <f t="shared" ref="U57:U66" si="16">J58</f>
        <v>3.7789689423676331E-2</v>
      </c>
      <c r="W57" s="2">
        <f>O71</f>
        <v>1.7172050549265669E-2</v>
      </c>
      <c r="X57" s="2">
        <f>O72</f>
        <v>0.19737216755067441</v>
      </c>
      <c r="Y57" s="2">
        <f>O73</f>
        <v>4.3741154889407649E-2</v>
      </c>
    </row>
    <row r="58" spans="1:25" x14ac:dyDescent="0.25">
      <c r="A58" t="s">
        <v>2</v>
      </c>
      <c r="B58">
        <v>1.0946099336119799</v>
      </c>
      <c r="C58">
        <v>1.0547512128587999</v>
      </c>
      <c r="D58">
        <f t="shared" ref="D58:D67" si="17">B58-C58</f>
        <v>3.9858720753179977E-2</v>
      </c>
      <c r="E58" s="1">
        <f t="shared" ref="E58:E67" si="18">D58/C58</f>
        <v>3.7789689423676331E-2</v>
      </c>
      <c r="I58" t="s">
        <v>2</v>
      </c>
      <c r="J58" s="1">
        <f t="shared" ref="J58:J67" si="19">E58</f>
        <v>3.7789689423676331E-2</v>
      </c>
      <c r="K58" s="1">
        <f t="shared" ref="K58:K67" si="20">E71</f>
        <v>3.7874427233958438E-2</v>
      </c>
      <c r="U58" s="1">
        <f t="shared" si="16"/>
        <v>2.7946705457233042E-2</v>
      </c>
    </row>
    <row r="59" spans="1:25" x14ac:dyDescent="0.25">
      <c r="A59" t="s">
        <v>3</v>
      </c>
      <c r="B59">
        <v>1.0977558716498499</v>
      </c>
      <c r="C59">
        <v>1.0679112699345299</v>
      </c>
      <c r="D59">
        <f t="shared" si="17"/>
        <v>2.9844601715319996E-2</v>
      </c>
      <c r="E59" s="1">
        <f t="shared" si="18"/>
        <v>2.7946705457233042E-2</v>
      </c>
      <c r="I59" t="s">
        <v>3</v>
      </c>
      <c r="J59" s="1">
        <f t="shared" si="19"/>
        <v>2.7946705457233042E-2</v>
      </c>
      <c r="K59" s="1">
        <f t="shared" si="20"/>
        <v>2.6491809961500301E-2</v>
      </c>
      <c r="U59" s="1">
        <f t="shared" si="16"/>
        <v>2.9942923367937201E-2</v>
      </c>
    </row>
    <row r="60" spans="1:25" x14ac:dyDescent="0.25">
      <c r="A60" t="s">
        <v>4</v>
      </c>
      <c r="B60">
        <v>1.1050737688524599</v>
      </c>
      <c r="C60">
        <v>1.07294661071008</v>
      </c>
      <c r="D60">
        <f t="shared" si="17"/>
        <v>3.2127158142379875E-2</v>
      </c>
      <c r="E60" s="1">
        <f t="shared" si="18"/>
        <v>2.9942923367937201E-2</v>
      </c>
      <c r="I60" t="s">
        <v>4</v>
      </c>
      <c r="J60" s="1">
        <f t="shared" si="19"/>
        <v>2.9942923367937201E-2</v>
      </c>
      <c r="K60" s="1">
        <f t="shared" si="20"/>
        <v>2.6853481846726632E-2</v>
      </c>
      <c r="U60" s="1">
        <f t="shared" si="16"/>
        <v>2.9888821591078567E-2</v>
      </c>
    </row>
    <row r="61" spans="1:25" x14ac:dyDescent="0.25">
      <c r="A61" t="s">
        <v>5</v>
      </c>
      <c r="B61">
        <v>1.1085680944184799</v>
      </c>
      <c r="C61">
        <v>1.07639588970958</v>
      </c>
      <c r="D61">
        <f t="shared" si="17"/>
        <v>3.2172204708899921E-2</v>
      </c>
      <c r="E61" s="1">
        <f t="shared" si="18"/>
        <v>2.9888821591078567E-2</v>
      </c>
      <c r="I61" t="s">
        <v>5</v>
      </c>
      <c r="J61" s="1">
        <f t="shared" si="19"/>
        <v>2.9888821591078567E-2</v>
      </c>
      <c r="K61" s="1">
        <f t="shared" si="20"/>
        <v>2.5348072986781364E-2</v>
      </c>
      <c r="U61" s="1">
        <f t="shared" si="16"/>
        <v>3.2560390819019486E-2</v>
      </c>
    </row>
    <row r="62" spans="1:25" x14ac:dyDescent="0.25">
      <c r="A62" t="s">
        <v>6</v>
      </c>
      <c r="B62">
        <v>1.1131370928612301</v>
      </c>
      <c r="C62">
        <v>1.0780358250797299</v>
      </c>
      <c r="D62">
        <f t="shared" si="17"/>
        <v>3.5101267781500134E-2</v>
      </c>
      <c r="E62" s="1">
        <f t="shared" si="18"/>
        <v>3.2560390819019486E-2</v>
      </c>
      <c r="I62" t="s">
        <v>6</v>
      </c>
      <c r="J62" s="1">
        <f t="shared" si="19"/>
        <v>3.2560390819019486E-2</v>
      </c>
      <c r="K62" s="1">
        <f t="shared" si="20"/>
        <v>2.947368525369758E-2</v>
      </c>
      <c r="U62" s="1">
        <f t="shared" si="16"/>
        <v>2.657616486830848E-2</v>
      </c>
    </row>
    <row r="63" spans="1:25" x14ac:dyDescent="0.25">
      <c r="A63" t="s">
        <v>7</v>
      </c>
      <c r="B63">
        <v>1.11317382099828</v>
      </c>
      <c r="C63">
        <v>1.0843558024173301</v>
      </c>
      <c r="D63">
        <f t="shared" si="17"/>
        <v>2.88180185809499E-2</v>
      </c>
      <c r="E63" s="1">
        <f t="shared" si="18"/>
        <v>2.657616486830848E-2</v>
      </c>
      <c r="I63" t="s">
        <v>7</v>
      </c>
      <c r="J63" s="1">
        <f t="shared" si="19"/>
        <v>2.657616486830848E-2</v>
      </c>
      <c r="K63" s="1">
        <f t="shared" si="20"/>
        <v>2.5420504584187445E-2</v>
      </c>
      <c r="U63" s="1">
        <f t="shared" si="16"/>
        <v>2.2652369089975626E-2</v>
      </c>
    </row>
    <row r="64" spans="1:25" x14ac:dyDescent="0.25">
      <c r="A64" t="s">
        <v>8</v>
      </c>
      <c r="B64">
        <v>1.11330647160067</v>
      </c>
      <c r="C64">
        <v>1.0886460592580101</v>
      </c>
      <c r="D64">
        <f t="shared" si="17"/>
        <v>2.4660412342659921E-2</v>
      </c>
      <c r="E64" s="1">
        <f t="shared" si="18"/>
        <v>2.2652369089975626E-2</v>
      </c>
      <c r="I64" t="s">
        <v>8</v>
      </c>
      <c r="J64" s="1">
        <f t="shared" si="19"/>
        <v>2.2652369089975626E-2</v>
      </c>
      <c r="K64" s="1">
        <f t="shared" si="20"/>
        <v>1.9405322892151418E-2</v>
      </c>
      <c r="U64" s="1">
        <f t="shared" si="16"/>
        <v>1.7172050549265669E-2</v>
      </c>
    </row>
    <row r="65" spans="1:21" x14ac:dyDescent="0.25">
      <c r="A65" t="s">
        <v>9</v>
      </c>
      <c r="B65">
        <v>1.1328530368852401</v>
      </c>
      <c r="C65">
        <v>1.11372804263891</v>
      </c>
      <c r="D65">
        <f t="shared" si="17"/>
        <v>1.9124994246330074E-2</v>
      </c>
      <c r="E65" s="1">
        <f t="shared" si="18"/>
        <v>1.7172050549265669E-2</v>
      </c>
      <c r="I65" t="s">
        <v>9</v>
      </c>
      <c r="J65" s="1">
        <f t="shared" si="19"/>
        <v>1.7172050549265669E-2</v>
      </c>
      <c r="K65" s="1">
        <f t="shared" si="20"/>
        <v>1.9131905314939083E-2</v>
      </c>
      <c r="U65" s="1">
        <f t="shared" si="16"/>
        <v>2.2299281129535078E-2</v>
      </c>
    </row>
    <row r="66" spans="1:21" x14ac:dyDescent="0.25">
      <c r="A66" t="s">
        <v>10</v>
      </c>
      <c r="B66">
        <v>1.1738534677485399</v>
      </c>
      <c r="C66">
        <v>1.14824835487662</v>
      </c>
      <c r="D66">
        <f t="shared" si="17"/>
        <v>2.5605112871919911E-2</v>
      </c>
      <c r="E66" s="1">
        <f t="shared" si="18"/>
        <v>2.2299281129535078E-2</v>
      </c>
      <c r="I66" t="s">
        <v>10</v>
      </c>
      <c r="J66" s="1">
        <f t="shared" si="19"/>
        <v>2.2299281129535078E-2</v>
      </c>
      <c r="K66" s="1">
        <f t="shared" si="20"/>
        <v>2.3597245341554555E-2</v>
      </c>
      <c r="U66" s="1">
        <f t="shared" si="16"/>
        <v>0.19737216755067441</v>
      </c>
    </row>
    <row r="67" spans="1:21" x14ac:dyDescent="0.25">
      <c r="A67" t="s">
        <v>11</v>
      </c>
      <c r="B67">
        <v>2.1407369461519501</v>
      </c>
      <c r="C67">
        <v>1.7878626246432701</v>
      </c>
      <c r="D67">
        <f t="shared" si="17"/>
        <v>0.35287432150868003</v>
      </c>
      <c r="E67" s="1">
        <f t="shared" si="18"/>
        <v>0.19737216755067441</v>
      </c>
      <c r="I67" t="s">
        <v>11</v>
      </c>
      <c r="J67" s="1">
        <f t="shared" si="19"/>
        <v>0.19737216755067441</v>
      </c>
      <c r="K67" s="1">
        <f t="shared" si="20"/>
        <v>0.19702607852595219</v>
      </c>
      <c r="U67" s="1">
        <f t="shared" ref="U67:U76" si="21">K58</f>
        <v>3.7874427233958438E-2</v>
      </c>
    </row>
    <row r="68" spans="1:21" x14ac:dyDescent="0.25">
      <c r="U68" s="1">
        <f t="shared" si="21"/>
        <v>2.6491809961500301E-2</v>
      </c>
    </row>
    <row r="69" spans="1:21" x14ac:dyDescent="0.25">
      <c r="U69" s="1">
        <f t="shared" si="21"/>
        <v>2.6853481846726632E-2</v>
      </c>
    </row>
    <row r="70" spans="1:21" x14ac:dyDescent="0.25">
      <c r="A70" t="s">
        <v>1</v>
      </c>
      <c r="B70" t="s">
        <v>14</v>
      </c>
      <c r="C70" t="s">
        <v>13</v>
      </c>
      <c r="I70" t="s">
        <v>19</v>
      </c>
      <c r="J70" s="2">
        <f>AVERAGE(J58:J67)</f>
        <v>4.4420056384670385E-2</v>
      </c>
      <c r="K70" s="2">
        <f>AVERAGE(K58:K67)</f>
        <v>4.3062253394144899E-2</v>
      </c>
      <c r="U70" s="1">
        <f t="shared" si="21"/>
        <v>2.5348072986781364E-2</v>
      </c>
    </row>
    <row r="71" spans="1:21" x14ac:dyDescent="0.25">
      <c r="A71" t="s">
        <v>2</v>
      </c>
      <c r="B71">
        <v>1.0946993109201499</v>
      </c>
      <c r="C71">
        <v>1.0547512128587999</v>
      </c>
      <c r="D71">
        <f t="shared" ref="D71:D80" si="22">B71-C71</f>
        <v>3.9948098061350024E-2</v>
      </c>
      <c r="E71" s="1">
        <f t="shared" ref="E71:E80" si="23">D71/C71</f>
        <v>3.7874427233958438E-2</v>
      </c>
      <c r="N71" t="s">
        <v>20</v>
      </c>
      <c r="O71" s="2">
        <f>MIN(U57:U76)</f>
        <v>1.7172050549265669E-2</v>
      </c>
      <c r="U71" s="1">
        <f t="shared" si="21"/>
        <v>2.947368525369758E-2</v>
      </c>
    </row>
    <row r="72" spans="1:21" x14ac:dyDescent="0.25">
      <c r="A72" t="s">
        <v>3</v>
      </c>
      <c r="B72">
        <v>1.0962021723533799</v>
      </c>
      <c r="C72">
        <v>1.0679112699345299</v>
      </c>
      <c r="D72">
        <f t="shared" si="22"/>
        <v>2.8290902418850017E-2</v>
      </c>
      <c r="E72" s="1">
        <f t="shared" si="23"/>
        <v>2.6491809961500301E-2</v>
      </c>
      <c r="N72" t="s">
        <v>21</v>
      </c>
      <c r="O72" s="2">
        <f>MAX(U57:U76)</f>
        <v>0.19737216755067441</v>
      </c>
      <c r="U72" s="1">
        <f t="shared" si="21"/>
        <v>2.5420504584187445E-2</v>
      </c>
    </row>
    <row r="73" spans="1:21" x14ac:dyDescent="0.25">
      <c r="A73" t="s">
        <v>4</v>
      </c>
      <c r="B73">
        <v>1.10175896304329</v>
      </c>
      <c r="C73">
        <v>1.07294661071008</v>
      </c>
      <c r="D73">
        <f t="shared" si="22"/>
        <v>2.8812352333210001E-2</v>
      </c>
      <c r="E73" s="1">
        <f t="shared" si="23"/>
        <v>2.6853481846726632E-2</v>
      </c>
      <c r="N73" t="s">
        <v>22</v>
      </c>
      <c r="O73" s="2">
        <f>AVERAGE(U57:U76)</f>
        <v>4.3741154889407649E-2</v>
      </c>
      <c r="U73" s="1">
        <f t="shared" si="21"/>
        <v>1.9405322892151418E-2</v>
      </c>
    </row>
    <row r="74" spans="1:21" x14ac:dyDescent="0.25">
      <c r="A74" t="s">
        <v>5</v>
      </c>
      <c r="B74">
        <v>1.1036804512846099</v>
      </c>
      <c r="C74">
        <v>1.07639588970958</v>
      </c>
      <c r="D74">
        <f t="shared" si="22"/>
        <v>2.7284561575029898E-2</v>
      </c>
      <c r="E74" s="1">
        <f t="shared" si="23"/>
        <v>2.5348072986781364E-2</v>
      </c>
      <c r="U74" s="1">
        <f t="shared" si="21"/>
        <v>1.9131905314939083E-2</v>
      </c>
    </row>
    <row r="75" spans="1:21" x14ac:dyDescent="0.25">
      <c r="A75" t="s">
        <v>6</v>
      </c>
      <c r="B75">
        <v>1.1098095136803401</v>
      </c>
      <c r="C75">
        <v>1.0780358250797299</v>
      </c>
      <c r="D75">
        <f t="shared" si="22"/>
        <v>3.1773688600610139E-2</v>
      </c>
      <c r="E75" s="1">
        <f t="shared" si="23"/>
        <v>2.947368525369758E-2</v>
      </c>
      <c r="U75" s="1">
        <f t="shared" si="21"/>
        <v>2.3597245341554555E-2</v>
      </c>
    </row>
    <row r="76" spans="1:21" x14ac:dyDescent="0.25">
      <c r="A76" t="s">
        <v>7</v>
      </c>
      <c r="B76">
        <v>1.1119206740635701</v>
      </c>
      <c r="C76">
        <v>1.0843558024173301</v>
      </c>
      <c r="D76">
        <f t="shared" si="22"/>
        <v>2.7564871646239997E-2</v>
      </c>
      <c r="E76" s="1">
        <f t="shared" si="23"/>
        <v>2.5420504584187445E-2</v>
      </c>
      <c r="U76" s="1">
        <f t="shared" si="21"/>
        <v>0.19702607852595219</v>
      </c>
    </row>
    <row r="77" spans="1:21" x14ac:dyDescent="0.25">
      <c r="A77" t="s">
        <v>8</v>
      </c>
      <c r="B77">
        <v>1.10977158755318</v>
      </c>
      <c r="C77">
        <v>1.0886460592580101</v>
      </c>
      <c r="D77">
        <f t="shared" si="22"/>
        <v>2.1125528295169893E-2</v>
      </c>
      <c r="E77" s="1">
        <f t="shared" si="23"/>
        <v>1.9405322892151418E-2</v>
      </c>
    </row>
    <row r="78" spans="1:21" x14ac:dyDescent="0.25">
      <c r="A78" t="s">
        <v>9</v>
      </c>
      <c r="B78">
        <v>1.1350357820972701</v>
      </c>
      <c r="C78">
        <v>1.11372804263891</v>
      </c>
      <c r="D78">
        <f t="shared" si="22"/>
        <v>2.1307739458360064E-2</v>
      </c>
      <c r="E78" s="1">
        <f t="shared" si="23"/>
        <v>1.9131905314939083E-2</v>
      </c>
    </row>
    <row r="79" spans="1:21" x14ac:dyDescent="0.25">
      <c r="A79" t="s">
        <v>10</v>
      </c>
      <c r="B79">
        <v>1.17534385301968</v>
      </c>
      <c r="C79">
        <v>1.14824835487662</v>
      </c>
      <c r="D79">
        <f t="shared" si="22"/>
        <v>2.7095498143060004E-2</v>
      </c>
      <c r="E79" s="1">
        <f t="shared" si="23"/>
        <v>2.3597245341554555E-2</v>
      </c>
    </row>
    <row r="80" spans="1:21" x14ac:dyDescent="0.25">
      <c r="A80" t="s">
        <v>11</v>
      </c>
      <c r="B80">
        <v>2.14011818651985</v>
      </c>
      <c r="C80">
        <v>1.7878626246432701</v>
      </c>
      <c r="D80">
        <f t="shared" si="22"/>
        <v>0.35225556187657991</v>
      </c>
      <c r="E80" s="1">
        <f t="shared" si="23"/>
        <v>0.19702607852595219</v>
      </c>
    </row>
    <row r="82" spans="1:25" x14ac:dyDescent="0.25">
      <c r="A82" s="6" t="s">
        <v>29</v>
      </c>
      <c r="B82" s="6"/>
    </row>
    <row r="84" spans="1:25" x14ac:dyDescent="0.25">
      <c r="A84" t="s">
        <v>1</v>
      </c>
      <c r="B84" t="s">
        <v>12</v>
      </c>
      <c r="C84" t="s">
        <v>13</v>
      </c>
      <c r="E84" t="s">
        <v>15</v>
      </c>
      <c r="I84" t="s">
        <v>16</v>
      </c>
      <c r="J84" t="s">
        <v>17</v>
      </c>
      <c r="K84" t="s">
        <v>18</v>
      </c>
      <c r="U84" s="1">
        <f t="shared" ref="U84:U93" si="24">J85</f>
        <v>0.50747061838943164</v>
      </c>
      <c r="W84" s="2">
        <f>O98</f>
        <v>0.16193993937175316</v>
      </c>
      <c r="X84" s="2">
        <f>O99</f>
        <v>0.51730446355927839</v>
      </c>
      <c r="Y84" s="2">
        <f>O100</f>
        <v>0.33176222472726929</v>
      </c>
    </row>
    <row r="85" spans="1:25" x14ac:dyDescent="0.25">
      <c r="A85" t="s">
        <v>2</v>
      </c>
      <c r="B85">
        <v>3.2053799999999999</v>
      </c>
      <c r="C85">
        <v>2.1263299999999998</v>
      </c>
      <c r="D85">
        <f t="shared" ref="D85:D94" si="25">B85-C85</f>
        <v>1.0790500000000001</v>
      </c>
      <c r="E85" s="1">
        <f t="shared" ref="E85:E94" si="26">D85/C85</f>
        <v>0.50747061838943164</v>
      </c>
      <c r="I85" t="s">
        <v>2</v>
      </c>
      <c r="J85" s="1">
        <f t="shared" ref="J85:J94" si="27">E85</f>
        <v>0.50747061838943164</v>
      </c>
      <c r="K85" s="1">
        <f t="shared" ref="K85:K94" si="28">E98</f>
        <v>0.51730446355927839</v>
      </c>
      <c r="U85" s="1">
        <f t="shared" si="24"/>
        <v>0.33733474627799109</v>
      </c>
    </row>
    <row r="86" spans="1:25" x14ac:dyDescent="0.25">
      <c r="A86" t="s">
        <v>3</v>
      </c>
      <c r="B86">
        <v>3.07924</v>
      </c>
      <c r="C86">
        <v>2.3025199999999999</v>
      </c>
      <c r="D86">
        <f t="shared" si="25"/>
        <v>0.77672000000000008</v>
      </c>
      <c r="E86" s="1">
        <f t="shared" si="26"/>
        <v>0.33733474627799109</v>
      </c>
      <c r="I86" t="s">
        <v>3</v>
      </c>
      <c r="J86" s="1">
        <f t="shared" si="27"/>
        <v>0.33733474627799109</v>
      </c>
      <c r="K86" s="1">
        <f t="shared" si="28"/>
        <v>0.31478119625453854</v>
      </c>
      <c r="U86" s="1">
        <f t="shared" si="24"/>
        <v>0.36703579021970228</v>
      </c>
    </row>
    <row r="87" spans="1:25" x14ac:dyDescent="0.25">
      <c r="A87" t="s">
        <v>4</v>
      </c>
      <c r="B87">
        <v>3.08622</v>
      </c>
      <c r="C87">
        <v>2.2576000000000001</v>
      </c>
      <c r="D87">
        <f t="shared" si="25"/>
        <v>0.82861999999999991</v>
      </c>
      <c r="E87" s="1">
        <f t="shared" si="26"/>
        <v>0.36703579021970228</v>
      </c>
      <c r="I87" t="s">
        <v>4</v>
      </c>
      <c r="J87" s="1">
        <f t="shared" si="27"/>
        <v>0.36703579021970228</v>
      </c>
      <c r="K87" s="1">
        <f t="shared" si="28"/>
        <v>0.3246102055279943</v>
      </c>
      <c r="U87" s="1">
        <f t="shared" si="24"/>
        <v>0.35947744463114911</v>
      </c>
    </row>
    <row r="88" spans="1:25" x14ac:dyDescent="0.25">
      <c r="A88" t="s">
        <v>5</v>
      </c>
      <c r="B88">
        <v>3.0501100000000001</v>
      </c>
      <c r="C88">
        <v>2.2435900000000002</v>
      </c>
      <c r="D88">
        <f t="shared" si="25"/>
        <v>0.8065199999999999</v>
      </c>
      <c r="E88" s="1">
        <f t="shared" si="26"/>
        <v>0.35947744463114911</v>
      </c>
      <c r="I88" t="s">
        <v>5</v>
      </c>
      <c r="J88" s="1">
        <f t="shared" si="27"/>
        <v>0.35947744463114911</v>
      </c>
      <c r="K88" s="1">
        <f t="shared" si="28"/>
        <v>0.37371355728987915</v>
      </c>
      <c r="U88" s="1">
        <f t="shared" si="24"/>
        <v>0.36237400814926018</v>
      </c>
    </row>
    <row r="89" spans="1:25" x14ac:dyDescent="0.25">
      <c r="A89" t="s">
        <v>6</v>
      </c>
      <c r="B89">
        <v>3.0493199999999998</v>
      </c>
      <c r="C89">
        <v>2.2382399999999998</v>
      </c>
      <c r="D89">
        <f t="shared" si="25"/>
        <v>0.81108000000000002</v>
      </c>
      <c r="E89" s="1">
        <f t="shared" si="26"/>
        <v>0.36237400814926018</v>
      </c>
      <c r="I89" t="s">
        <v>6</v>
      </c>
      <c r="J89" s="1">
        <f t="shared" si="27"/>
        <v>0.36237400814926018</v>
      </c>
      <c r="K89" s="1">
        <f t="shared" si="28"/>
        <v>0.34963185359925664</v>
      </c>
      <c r="U89" s="1">
        <f t="shared" si="24"/>
        <v>0.37265179733429066</v>
      </c>
    </row>
    <row r="90" spans="1:25" x14ac:dyDescent="0.25">
      <c r="A90" t="s">
        <v>7</v>
      </c>
      <c r="B90">
        <v>3.0586799999999998</v>
      </c>
      <c r="C90">
        <v>2.2282999999999999</v>
      </c>
      <c r="D90">
        <f t="shared" si="25"/>
        <v>0.8303799999999999</v>
      </c>
      <c r="E90" s="1">
        <f t="shared" si="26"/>
        <v>0.37265179733429066</v>
      </c>
      <c r="I90" t="s">
        <v>7</v>
      </c>
      <c r="J90" s="1">
        <f t="shared" si="27"/>
        <v>0.37265179733429066</v>
      </c>
      <c r="K90" s="1">
        <f t="shared" si="28"/>
        <v>0.36613561908181136</v>
      </c>
      <c r="U90" s="1">
        <f t="shared" si="24"/>
        <v>0.30945428424484317</v>
      </c>
    </row>
    <row r="91" spans="1:25" x14ac:dyDescent="0.25">
      <c r="A91" t="s">
        <v>8</v>
      </c>
      <c r="B91">
        <v>3.08074</v>
      </c>
      <c r="C91">
        <v>2.3526899999999999</v>
      </c>
      <c r="D91">
        <f t="shared" si="25"/>
        <v>0.72805000000000009</v>
      </c>
      <c r="E91" s="1">
        <f t="shared" si="26"/>
        <v>0.30945428424484317</v>
      </c>
      <c r="I91" t="s">
        <v>8</v>
      </c>
      <c r="J91" s="1">
        <f t="shared" si="27"/>
        <v>0.30945428424484317</v>
      </c>
      <c r="K91" s="1">
        <f t="shared" si="28"/>
        <v>0.21033370312280836</v>
      </c>
      <c r="U91" s="1">
        <f t="shared" si="24"/>
        <v>0.21320659260203761</v>
      </c>
    </row>
    <row r="92" spans="1:25" x14ac:dyDescent="0.25">
      <c r="A92" t="s">
        <v>9</v>
      </c>
      <c r="B92">
        <v>2.94956</v>
      </c>
      <c r="C92">
        <v>2.4312100000000001</v>
      </c>
      <c r="D92">
        <f t="shared" si="25"/>
        <v>0.51834999999999987</v>
      </c>
      <c r="E92" s="1">
        <f t="shared" si="26"/>
        <v>0.21320659260203761</v>
      </c>
      <c r="I92" t="s">
        <v>9</v>
      </c>
      <c r="J92" s="1">
        <f t="shared" si="27"/>
        <v>0.21320659260203761</v>
      </c>
      <c r="K92" s="1">
        <f t="shared" si="28"/>
        <v>0.16193993937175316</v>
      </c>
      <c r="U92" s="1">
        <f t="shared" si="24"/>
        <v>0.25914089256314771</v>
      </c>
    </row>
    <row r="93" spans="1:25" x14ac:dyDescent="0.25">
      <c r="A93" t="s">
        <v>10</v>
      </c>
      <c r="B93">
        <v>2.8603399999999999</v>
      </c>
      <c r="C93">
        <v>2.2716599999999998</v>
      </c>
      <c r="D93">
        <f t="shared" si="25"/>
        <v>0.58868000000000009</v>
      </c>
      <c r="E93" s="1">
        <f t="shared" si="26"/>
        <v>0.25914089256314771</v>
      </c>
      <c r="I93" t="s">
        <v>10</v>
      </c>
      <c r="J93" s="1">
        <f t="shared" si="27"/>
        <v>0.25914089256314771</v>
      </c>
      <c r="K93" s="1">
        <f t="shared" si="28"/>
        <v>0.28774552529868042</v>
      </c>
      <c r="U93" s="1">
        <f t="shared" si="24"/>
        <v>0.31856757925448997</v>
      </c>
    </row>
    <row r="94" spans="1:25" x14ac:dyDescent="0.25">
      <c r="A94" t="s">
        <v>11</v>
      </c>
      <c r="B94">
        <v>8.5685400000000005</v>
      </c>
      <c r="C94">
        <v>6.4983700000000004</v>
      </c>
      <c r="D94">
        <f t="shared" si="25"/>
        <v>2.0701700000000001</v>
      </c>
      <c r="E94" s="1">
        <f t="shared" si="26"/>
        <v>0.31856757925448997</v>
      </c>
      <c r="I94" t="s">
        <v>11</v>
      </c>
      <c r="J94" s="1">
        <f t="shared" si="27"/>
        <v>0.31856757925448997</v>
      </c>
      <c r="K94" s="1">
        <f t="shared" si="28"/>
        <v>0.32233467777304137</v>
      </c>
      <c r="U94" s="1">
        <f t="shared" ref="U94:U103" si="29">K85</f>
        <v>0.51730446355927839</v>
      </c>
    </row>
    <row r="95" spans="1:25" x14ac:dyDescent="0.25">
      <c r="U95" s="1">
        <f t="shared" si="29"/>
        <v>0.31478119625453854</v>
      </c>
    </row>
    <row r="96" spans="1:25" x14ac:dyDescent="0.25">
      <c r="U96" s="1">
        <f t="shared" si="29"/>
        <v>0.3246102055279943</v>
      </c>
    </row>
    <row r="97" spans="1:25" x14ac:dyDescent="0.25">
      <c r="A97" t="s">
        <v>1</v>
      </c>
      <c r="B97" t="s">
        <v>14</v>
      </c>
      <c r="C97" t="s">
        <v>13</v>
      </c>
      <c r="I97" t="s">
        <v>19</v>
      </c>
      <c r="J97" s="2">
        <f>AVERAGE(J85:J94)</f>
        <v>0.34067137536663439</v>
      </c>
      <c r="K97" s="2">
        <f>AVERAGE(K85:K94)</f>
        <v>0.32285307408790415</v>
      </c>
      <c r="U97" s="1">
        <f t="shared" si="29"/>
        <v>0.37371355728987915</v>
      </c>
    </row>
    <row r="98" spans="1:25" x14ac:dyDescent="0.25">
      <c r="A98" t="s">
        <v>2</v>
      </c>
      <c r="B98">
        <v>3.2262900000000001</v>
      </c>
      <c r="C98">
        <v>2.1263299999999998</v>
      </c>
      <c r="D98">
        <f t="shared" ref="D98:D107" si="30">B98-C98</f>
        <v>1.0999600000000003</v>
      </c>
      <c r="E98" s="1">
        <f t="shared" ref="E98:E107" si="31">D98/C98</f>
        <v>0.51730446355927839</v>
      </c>
      <c r="N98" t="s">
        <v>20</v>
      </c>
      <c r="O98" s="2">
        <f>MIN(U84:U103)</f>
        <v>0.16193993937175316</v>
      </c>
      <c r="U98" s="1">
        <f t="shared" si="29"/>
        <v>0.34963185359925664</v>
      </c>
    </row>
    <row r="99" spans="1:25" x14ac:dyDescent="0.25">
      <c r="A99" t="s">
        <v>3</v>
      </c>
      <c r="B99">
        <v>3.0273099999999999</v>
      </c>
      <c r="C99">
        <v>2.3025199999999999</v>
      </c>
      <c r="D99">
        <f t="shared" si="30"/>
        <v>0.72479000000000005</v>
      </c>
      <c r="E99" s="1">
        <f t="shared" si="31"/>
        <v>0.31478119625453854</v>
      </c>
      <c r="N99" t="s">
        <v>21</v>
      </c>
      <c r="O99" s="2">
        <f>MAX(U84:U103)</f>
        <v>0.51730446355927839</v>
      </c>
      <c r="U99" s="1">
        <f t="shared" si="29"/>
        <v>0.36613561908181136</v>
      </c>
    </row>
    <row r="100" spans="1:25" x14ac:dyDescent="0.25">
      <c r="A100" t="s">
        <v>4</v>
      </c>
      <c r="B100">
        <v>2.99044</v>
      </c>
      <c r="C100">
        <v>2.2576000000000001</v>
      </c>
      <c r="D100">
        <f t="shared" si="30"/>
        <v>0.73283999999999994</v>
      </c>
      <c r="E100" s="1">
        <f t="shared" si="31"/>
        <v>0.3246102055279943</v>
      </c>
      <c r="N100" t="s">
        <v>22</v>
      </c>
      <c r="O100" s="2">
        <f>AVERAGE(U84:U103)</f>
        <v>0.33176222472726929</v>
      </c>
      <c r="U100" s="1">
        <f t="shared" si="29"/>
        <v>0.21033370312280836</v>
      </c>
    </row>
    <row r="101" spans="1:25" x14ac:dyDescent="0.25">
      <c r="A101" t="s">
        <v>5</v>
      </c>
      <c r="B101">
        <v>3.0820500000000002</v>
      </c>
      <c r="C101">
        <v>2.2435900000000002</v>
      </c>
      <c r="D101">
        <f t="shared" si="30"/>
        <v>0.83845999999999998</v>
      </c>
      <c r="E101" s="1">
        <f t="shared" si="31"/>
        <v>0.37371355728987915</v>
      </c>
      <c r="U101" s="1">
        <f t="shared" si="29"/>
        <v>0.16193993937175316</v>
      </c>
    </row>
    <row r="102" spans="1:25" x14ac:dyDescent="0.25">
      <c r="A102" t="s">
        <v>6</v>
      </c>
      <c r="B102">
        <v>3.0207999999999999</v>
      </c>
      <c r="C102">
        <v>2.2382399999999998</v>
      </c>
      <c r="D102">
        <f t="shared" si="30"/>
        <v>0.78256000000000014</v>
      </c>
      <c r="E102" s="1">
        <f t="shared" si="31"/>
        <v>0.34963185359925664</v>
      </c>
      <c r="U102" s="1">
        <f t="shared" si="29"/>
        <v>0.28774552529868042</v>
      </c>
    </row>
    <row r="103" spans="1:25" x14ac:dyDescent="0.25">
      <c r="A103" t="s">
        <v>7</v>
      </c>
      <c r="B103">
        <v>3.0441600000000002</v>
      </c>
      <c r="C103">
        <v>2.2282999999999999</v>
      </c>
      <c r="D103">
        <f t="shared" si="30"/>
        <v>0.81586000000000025</v>
      </c>
      <c r="E103" s="1">
        <f t="shared" si="31"/>
        <v>0.36613561908181136</v>
      </c>
      <c r="U103" s="1">
        <f t="shared" si="29"/>
        <v>0.32233467777304137</v>
      </c>
    </row>
    <row r="104" spans="1:25" x14ac:dyDescent="0.25">
      <c r="A104" t="s">
        <v>8</v>
      </c>
      <c r="B104">
        <v>2.84754</v>
      </c>
      <c r="C104">
        <v>2.3526899999999999</v>
      </c>
      <c r="D104">
        <f t="shared" si="30"/>
        <v>0.49485000000000001</v>
      </c>
      <c r="E104" s="1">
        <f t="shared" si="31"/>
        <v>0.21033370312280836</v>
      </c>
    </row>
    <row r="105" spans="1:25" x14ac:dyDescent="0.25">
      <c r="A105" t="s">
        <v>9</v>
      </c>
      <c r="B105">
        <v>2.8249200000000001</v>
      </c>
      <c r="C105">
        <v>2.4312100000000001</v>
      </c>
      <c r="D105">
        <f t="shared" si="30"/>
        <v>0.39371</v>
      </c>
      <c r="E105" s="1">
        <f t="shared" si="31"/>
        <v>0.16193993937175316</v>
      </c>
    </row>
    <row r="106" spans="1:25" x14ac:dyDescent="0.25">
      <c r="A106" t="s">
        <v>10</v>
      </c>
      <c r="B106">
        <v>2.9253200000000001</v>
      </c>
      <c r="C106">
        <v>2.2716599999999998</v>
      </c>
      <c r="D106">
        <f t="shared" si="30"/>
        <v>0.65366000000000035</v>
      </c>
      <c r="E106" s="1">
        <f t="shared" si="31"/>
        <v>0.28774552529868042</v>
      </c>
    </row>
    <row r="107" spans="1:25" x14ac:dyDescent="0.25">
      <c r="A107" t="s">
        <v>11</v>
      </c>
      <c r="B107">
        <v>8.5930199999999992</v>
      </c>
      <c r="C107">
        <v>6.4983700000000004</v>
      </c>
      <c r="D107">
        <f t="shared" si="30"/>
        <v>2.0946499999999988</v>
      </c>
      <c r="E107" s="1">
        <f t="shared" si="31"/>
        <v>0.32233467777304137</v>
      </c>
    </row>
    <row r="109" spans="1:25" x14ac:dyDescent="0.25">
      <c r="A109" s="6" t="s">
        <v>30</v>
      </c>
      <c r="B109" s="6"/>
    </row>
    <row r="111" spans="1:25" x14ac:dyDescent="0.25">
      <c r="A111" t="s">
        <v>1</v>
      </c>
      <c r="B111" t="s">
        <v>12</v>
      </c>
      <c r="C111" t="s">
        <v>13</v>
      </c>
      <c r="E111" t="s">
        <v>15</v>
      </c>
      <c r="I111" t="s">
        <v>16</v>
      </c>
      <c r="J111" t="s">
        <v>17</v>
      </c>
      <c r="K111" t="s">
        <v>18</v>
      </c>
      <c r="U111" s="1">
        <f t="shared" ref="U111:U120" si="32">J112</f>
        <v>5.8340778984607343E-2</v>
      </c>
      <c r="W111" s="2">
        <f>O125</f>
        <v>4.4176835105254018E-2</v>
      </c>
      <c r="X111" s="2">
        <f>O126</f>
        <v>0.24310261536356539</v>
      </c>
      <c r="Y111" s="2">
        <f>O127</f>
        <v>7.7721692838336132E-2</v>
      </c>
    </row>
    <row r="112" spans="1:25" x14ac:dyDescent="0.25">
      <c r="A112" t="s">
        <v>2</v>
      </c>
      <c r="B112" s="3">
        <v>1.1938047470750099</v>
      </c>
      <c r="C112" s="3">
        <v>1.1279965496750199</v>
      </c>
      <c r="D112">
        <f t="shared" ref="D112:D121" si="33">B112-C112</f>
        <v>6.5808197399989998E-2</v>
      </c>
      <c r="E112" s="1">
        <f t="shared" ref="E112:E121" si="34">D112/C112</f>
        <v>5.8340778984607343E-2</v>
      </c>
      <c r="I112" t="s">
        <v>2</v>
      </c>
      <c r="J112" s="1">
        <f t="shared" ref="J112:J121" si="35">E112</f>
        <v>5.8340778984607343E-2</v>
      </c>
      <c r="K112" s="1">
        <f t="shared" ref="K112:K121" si="36">E125</f>
        <v>4.9151643327023729E-2</v>
      </c>
      <c r="U112" s="1">
        <f t="shared" si="32"/>
        <v>7.0049232072241549E-2</v>
      </c>
    </row>
    <row r="113" spans="1:21" x14ac:dyDescent="0.25">
      <c r="A113" t="s">
        <v>3</v>
      </c>
      <c r="B113" s="3">
        <v>1.21196358052305</v>
      </c>
      <c r="C113" s="3">
        <v>1.13262412999071</v>
      </c>
      <c r="D113">
        <f t="shared" si="33"/>
        <v>7.9339450532339928E-2</v>
      </c>
      <c r="E113" s="1">
        <f t="shared" si="34"/>
        <v>7.0049232072241549E-2</v>
      </c>
      <c r="I113" t="s">
        <v>3</v>
      </c>
      <c r="J113" s="1">
        <f t="shared" si="35"/>
        <v>7.0049232072241549E-2</v>
      </c>
      <c r="K113" s="1">
        <f t="shared" si="36"/>
        <v>6.140043637465175E-2</v>
      </c>
      <c r="U113" s="1">
        <f t="shared" si="32"/>
        <v>5.9468499590621796E-2</v>
      </c>
    </row>
    <row r="114" spans="1:21" x14ac:dyDescent="0.25">
      <c r="A114" t="s">
        <v>4</v>
      </c>
      <c r="B114" s="3">
        <v>1.2093659532002701</v>
      </c>
      <c r="C114">
        <v>1.14148363416899</v>
      </c>
      <c r="D114">
        <f t="shared" si="33"/>
        <v>6.7882319031280058E-2</v>
      </c>
      <c r="E114" s="1">
        <f t="shared" si="34"/>
        <v>5.9468499590621796E-2</v>
      </c>
      <c r="I114" t="s">
        <v>4</v>
      </c>
      <c r="J114" s="1">
        <f t="shared" si="35"/>
        <v>5.9468499590621796E-2</v>
      </c>
      <c r="K114" s="1">
        <f t="shared" si="36"/>
        <v>5.3341959808480055E-2</v>
      </c>
      <c r="U114" s="1">
        <f t="shared" si="32"/>
        <v>5.3236703768195691E-2</v>
      </c>
    </row>
    <row r="115" spans="1:21" x14ac:dyDescent="0.25">
      <c r="A115" t="s">
        <v>5</v>
      </c>
      <c r="B115" s="3">
        <v>1.2011907398485799</v>
      </c>
      <c r="C115" s="3">
        <v>1.14047557927961</v>
      </c>
      <c r="D115">
        <f t="shared" si="33"/>
        <v>6.0715160568969972E-2</v>
      </c>
      <c r="E115" s="1">
        <f t="shared" si="34"/>
        <v>5.3236703768195691E-2</v>
      </c>
      <c r="I115" t="s">
        <v>5</v>
      </c>
      <c r="J115" s="1">
        <f t="shared" si="35"/>
        <v>5.3236703768195691E-2</v>
      </c>
      <c r="K115" s="1">
        <f t="shared" si="36"/>
        <v>5.3005878059769598E-2</v>
      </c>
      <c r="U115" s="1">
        <f t="shared" si="32"/>
        <v>6.5691554584567435E-2</v>
      </c>
    </row>
    <row r="116" spans="1:21" x14ac:dyDescent="0.25">
      <c r="A116" t="s">
        <v>6</v>
      </c>
      <c r="B116" s="3">
        <v>1.2280329731589701</v>
      </c>
      <c r="C116" s="3">
        <v>1.1523343390270999</v>
      </c>
      <c r="D116">
        <f t="shared" si="33"/>
        <v>7.5698634131870168E-2</v>
      </c>
      <c r="E116" s="1">
        <f t="shared" si="34"/>
        <v>6.5691554584567435E-2</v>
      </c>
      <c r="I116" t="s">
        <v>6</v>
      </c>
      <c r="J116" s="1">
        <f t="shared" si="35"/>
        <v>6.5691554584567435E-2</v>
      </c>
      <c r="K116" s="1">
        <f t="shared" si="36"/>
        <v>5.5491972150910757E-2</v>
      </c>
      <c r="U116" s="1">
        <f t="shared" si="32"/>
        <v>7.5555481650918369E-2</v>
      </c>
    </row>
    <row r="117" spans="1:21" x14ac:dyDescent="0.25">
      <c r="A117" t="s">
        <v>7</v>
      </c>
      <c r="B117" s="3">
        <v>1.2363148227804499</v>
      </c>
      <c r="C117" s="3">
        <v>1.14946633983286</v>
      </c>
      <c r="D117">
        <f t="shared" si="33"/>
        <v>8.6848482947589956E-2</v>
      </c>
      <c r="E117" s="1">
        <f t="shared" si="34"/>
        <v>7.5555481650918369E-2</v>
      </c>
      <c r="I117" t="s">
        <v>7</v>
      </c>
      <c r="J117" s="1">
        <f t="shared" si="35"/>
        <v>7.5555481650918369E-2</v>
      </c>
      <c r="K117" s="1">
        <f t="shared" si="36"/>
        <v>6.4033669909727559E-2</v>
      </c>
      <c r="U117" s="1">
        <f t="shared" si="32"/>
        <v>7.5394814146684072E-2</v>
      </c>
    </row>
    <row r="118" spans="1:21" x14ac:dyDescent="0.25">
      <c r="A118" t="s">
        <v>8</v>
      </c>
      <c r="B118" s="3">
        <v>1.23804647048701</v>
      </c>
      <c r="C118" s="3">
        <v>1.15124831754874</v>
      </c>
      <c r="D118">
        <f t="shared" si="33"/>
        <v>8.6798152938269979E-2</v>
      </c>
      <c r="E118" s="1">
        <f t="shared" si="34"/>
        <v>7.5394814146684072E-2</v>
      </c>
      <c r="I118" t="s">
        <v>8</v>
      </c>
      <c r="J118" s="1">
        <f t="shared" si="35"/>
        <v>7.5394814146684072E-2</v>
      </c>
      <c r="K118" s="1">
        <f t="shared" si="36"/>
        <v>7.3822486089602291E-2</v>
      </c>
      <c r="U118" s="1">
        <f t="shared" si="32"/>
        <v>5.8575835022057203E-2</v>
      </c>
    </row>
    <row r="119" spans="1:21" x14ac:dyDescent="0.25">
      <c r="A119" t="s">
        <v>9</v>
      </c>
      <c r="B119" s="3">
        <v>1.25860026152787</v>
      </c>
      <c r="C119" s="3">
        <v>1.18895616155988</v>
      </c>
      <c r="D119">
        <f t="shared" si="33"/>
        <v>6.9644099967989925E-2</v>
      </c>
      <c r="E119" s="1">
        <f t="shared" si="34"/>
        <v>5.8575835022057203E-2</v>
      </c>
      <c r="I119" t="s">
        <v>9</v>
      </c>
      <c r="J119" s="1">
        <f t="shared" si="35"/>
        <v>5.8575835022057203E-2</v>
      </c>
      <c r="K119" s="1">
        <f t="shared" si="36"/>
        <v>5.2820165839122898E-2</v>
      </c>
      <c r="U119" s="1">
        <f t="shared" si="32"/>
        <v>4.4176835105254018E-2</v>
      </c>
    </row>
    <row r="120" spans="1:21" x14ac:dyDescent="0.25">
      <c r="A120" t="s">
        <v>10</v>
      </c>
      <c r="B120" s="3">
        <v>1.3052022832071599</v>
      </c>
      <c r="C120" s="3">
        <v>1.24998203304864</v>
      </c>
      <c r="D120">
        <f t="shared" si="33"/>
        <v>5.5220250158519946E-2</v>
      </c>
      <c r="E120" s="1">
        <f t="shared" si="34"/>
        <v>4.4176835105254018E-2</v>
      </c>
      <c r="I120" t="s">
        <v>10</v>
      </c>
      <c r="J120" s="1">
        <f t="shared" si="35"/>
        <v>4.4176835105254018E-2</v>
      </c>
      <c r="K120" s="1">
        <f t="shared" si="36"/>
        <v>4.5258041157419278E-2</v>
      </c>
      <c r="U120" s="1">
        <f t="shared" si="32"/>
        <v>0.24310261536356539</v>
      </c>
    </row>
    <row r="121" spans="1:21" x14ac:dyDescent="0.25">
      <c r="A121" t="s">
        <v>11</v>
      </c>
      <c r="B121" s="3">
        <v>2.7207568926359298</v>
      </c>
      <c r="C121" s="3">
        <v>2.1886824619383498</v>
      </c>
      <c r="D121">
        <f t="shared" si="33"/>
        <v>0.53207443069757998</v>
      </c>
      <c r="E121" s="1">
        <f t="shared" si="34"/>
        <v>0.24310261536356539</v>
      </c>
      <c r="I121" t="s">
        <v>11</v>
      </c>
      <c r="J121" s="1">
        <f t="shared" si="35"/>
        <v>0.24310261536356539</v>
      </c>
      <c r="K121" s="1">
        <f t="shared" si="36"/>
        <v>0.24251525376130209</v>
      </c>
      <c r="U121" s="1">
        <f t="shared" ref="U121:U130" si="37">K112</f>
        <v>4.9151643327023729E-2</v>
      </c>
    </row>
    <row r="122" spans="1:21" x14ac:dyDescent="0.25">
      <c r="U122" s="1">
        <f t="shared" si="37"/>
        <v>6.140043637465175E-2</v>
      </c>
    </row>
    <row r="123" spans="1:21" x14ac:dyDescent="0.25">
      <c r="U123" s="1">
        <f t="shared" si="37"/>
        <v>5.3341959808480055E-2</v>
      </c>
    </row>
    <row r="124" spans="1:21" x14ac:dyDescent="0.25">
      <c r="A124" t="s">
        <v>1</v>
      </c>
      <c r="B124" t="s">
        <v>14</v>
      </c>
      <c r="C124" t="s">
        <v>13</v>
      </c>
      <c r="I124" t="s">
        <v>19</v>
      </c>
      <c r="J124" s="2">
        <f>AVERAGE(J112:J121)</f>
        <v>8.0359235028871295E-2</v>
      </c>
      <c r="K124" s="2">
        <f>AVERAGE(K112:K121)</f>
        <v>7.508415064780101E-2</v>
      </c>
      <c r="U124" s="1">
        <f t="shared" si="37"/>
        <v>5.3005878059769598E-2</v>
      </c>
    </row>
    <row r="125" spans="1:21" x14ac:dyDescent="0.25">
      <c r="A125" t="s">
        <v>2</v>
      </c>
      <c r="B125" s="3">
        <v>1.1834394337587599</v>
      </c>
      <c r="C125" s="3">
        <v>1.1279965496750199</v>
      </c>
      <c r="D125">
        <f t="shared" ref="D125:D134" si="38">B125-C125</f>
        <v>5.5442884083739985E-2</v>
      </c>
      <c r="E125" s="1">
        <f t="shared" ref="E125:E134" si="39">D125/C125</f>
        <v>4.9151643327023729E-2</v>
      </c>
      <c r="N125" t="s">
        <v>20</v>
      </c>
      <c r="O125" s="2">
        <f>MIN(U111:U130)</f>
        <v>4.4176835105254018E-2</v>
      </c>
      <c r="U125" s="1">
        <f t="shared" si="37"/>
        <v>5.5491972150910757E-2</v>
      </c>
    </row>
    <row r="126" spans="1:21" x14ac:dyDescent="0.25">
      <c r="A126" t="s">
        <v>3</v>
      </c>
      <c r="B126" s="3">
        <v>1.2021677458205999</v>
      </c>
      <c r="C126" s="3">
        <v>1.13262412999071</v>
      </c>
      <c r="D126">
        <f t="shared" si="38"/>
        <v>6.9543615829889882E-2</v>
      </c>
      <c r="E126" s="1">
        <f t="shared" si="39"/>
        <v>6.140043637465175E-2</v>
      </c>
      <c r="N126" t="s">
        <v>21</v>
      </c>
      <c r="O126" s="2">
        <f>MAX(U111:U130)</f>
        <v>0.24310261536356539</v>
      </c>
      <c r="U126" s="1">
        <f t="shared" si="37"/>
        <v>6.4033669909727559E-2</v>
      </c>
    </row>
    <row r="127" spans="1:21" x14ac:dyDescent="0.25">
      <c r="A127" t="s">
        <v>4</v>
      </c>
      <c r="B127" s="3">
        <v>1.20237260830487</v>
      </c>
      <c r="C127">
        <v>1.14148363416899</v>
      </c>
      <c r="D127">
        <f t="shared" si="38"/>
        <v>6.0888974135880014E-2</v>
      </c>
      <c r="E127" s="1">
        <f t="shared" si="39"/>
        <v>5.3341959808480055E-2</v>
      </c>
      <c r="N127" t="s">
        <v>22</v>
      </c>
      <c r="O127" s="2">
        <f>AVERAGE(U111:U130)</f>
        <v>7.7721692838336132E-2</v>
      </c>
      <c r="U127" s="1">
        <f t="shared" si="37"/>
        <v>7.3822486089602291E-2</v>
      </c>
    </row>
    <row r="128" spans="1:21" x14ac:dyDescent="0.25">
      <c r="A128" t="s">
        <v>5</v>
      </c>
      <c r="B128" s="3">
        <v>1.2009274887650501</v>
      </c>
      <c r="C128" s="3">
        <v>1.14047557927961</v>
      </c>
      <c r="D128">
        <f t="shared" si="38"/>
        <v>6.0451909485440103E-2</v>
      </c>
      <c r="E128" s="1">
        <f t="shared" si="39"/>
        <v>5.3005878059769598E-2</v>
      </c>
      <c r="U128" s="1">
        <f t="shared" si="37"/>
        <v>5.2820165839122898E-2</v>
      </c>
    </row>
    <row r="129" spans="1:25" x14ac:dyDescent="0.25">
      <c r="A129" t="s">
        <v>6</v>
      </c>
      <c r="B129" s="3">
        <v>1.2162796440769299</v>
      </c>
      <c r="C129" s="3">
        <v>1.1523343390270999</v>
      </c>
      <c r="D129">
        <f t="shared" si="38"/>
        <v>6.3945305049829981E-2</v>
      </c>
      <c r="E129" s="1">
        <f t="shared" si="39"/>
        <v>5.5491972150910757E-2</v>
      </c>
      <c r="U129" s="1">
        <f t="shared" si="37"/>
        <v>4.5258041157419278E-2</v>
      </c>
    </row>
    <row r="130" spans="1:25" x14ac:dyDescent="0.25">
      <c r="A130" t="s">
        <v>7</v>
      </c>
      <c r="B130" s="3">
        <v>1.22307088801006</v>
      </c>
      <c r="C130" s="3">
        <v>1.14946633983286</v>
      </c>
      <c r="D130">
        <f t="shared" si="38"/>
        <v>7.360454817720008E-2</v>
      </c>
      <c r="E130" s="1">
        <f t="shared" si="39"/>
        <v>6.4033669909727559E-2</v>
      </c>
      <c r="U130" s="1">
        <f t="shared" si="37"/>
        <v>0.24251525376130209</v>
      </c>
    </row>
    <row r="131" spans="1:25" x14ac:dyDescent="0.25">
      <c r="A131" t="s">
        <v>8</v>
      </c>
      <c r="B131" s="3">
        <v>1.2362363304566599</v>
      </c>
      <c r="C131" s="3">
        <v>1.15124831754874</v>
      </c>
      <c r="D131">
        <f t="shared" si="38"/>
        <v>8.4988012907919908E-2</v>
      </c>
      <c r="E131" s="1">
        <f t="shared" si="39"/>
        <v>7.3822486089602291E-2</v>
      </c>
    </row>
    <row r="132" spans="1:25" x14ac:dyDescent="0.25">
      <c r="A132" t="s">
        <v>9</v>
      </c>
      <c r="B132" s="3">
        <v>1.2517570231889199</v>
      </c>
      <c r="C132" s="3">
        <v>1.18895616155988</v>
      </c>
      <c r="D132">
        <f t="shared" si="38"/>
        <v>6.2800861629039861E-2</v>
      </c>
      <c r="E132" s="1">
        <f t="shared" si="39"/>
        <v>5.2820165839122898E-2</v>
      </c>
    </row>
    <row r="133" spans="1:25" x14ac:dyDescent="0.25">
      <c r="A133" t="s">
        <v>10</v>
      </c>
      <c r="B133" s="3">
        <v>1.3065537713463899</v>
      </c>
      <c r="C133" s="3">
        <v>1.24998203304864</v>
      </c>
      <c r="D133">
        <f t="shared" si="38"/>
        <v>5.6571738297749974E-2</v>
      </c>
      <c r="E133" s="1">
        <f t="shared" si="39"/>
        <v>4.5258041157419278E-2</v>
      </c>
    </row>
    <row r="134" spans="1:25" x14ac:dyDescent="0.25">
      <c r="A134" t="s">
        <v>11</v>
      </c>
      <c r="B134" s="3">
        <v>2.7194713445982401</v>
      </c>
      <c r="C134" s="3">
        <v>2.1886824619383498</v>
      </c>
      <c r="D134">
        <f t="shared" si="38"/>
        <v>0.53078888265989033</v>
      </c>
      <c r="E134" s="1">
        <f t="shared" si="39"/>
        <v>0.24251525376130209</v>
      </c>
    </row>
    <row r="136" spans="1:25" x14ac:dyDescent="0.25">
      <c r="A136" s="6" t="s">
        <v>31</v>
      </c>
      <c r="B136" s="6"/>
    </row>
    <row r="138" spans="1:25" x14ac:dyDescent="0.25">
      <c r="A138" t="s">
        <v>1</v>
      </c>
      <c r="B138" t="s">
        <v>12</v>
      </c>
      <c r="C138" t="s">
        <v>13</v>
      </c>
      <c r="E138" t="s">
        <v>15</v>
      </c>
      <c r="I138" t="s">
        <v>16</v>
      </c>
      <c r="J138" t="s">
        <v>17</v>
      </c>
      <c r="K138" t="s">
        <v>18</v>
      </c>
      <c r="U138" s="1">
        <f t="shared" ref="U138:U147" si="40">J139</f>
        <v>0.41208252498070397</v>
      </c>
      <c r="W138" s="2">
        <f>O152</f>
        <v>0.29293948803240549</v>
      </c>
      <c r="X138" s="2">
        <f>O153</f>
        <v>0.63767375003704696</v>
      </c>
      <c r="Y138" s="2">
        <f>O154</f>
        <v>0.42300660449489058</v>
      </c>
    </row>
    <row r="139" spans="1:25" x14ac:dyDescent="0.25">
      <c r="A139" t="s">
        <v>2</v>
      </c>
      <c r="B139">
        <v>4.0614600000000003</v>
      </c>
      <c r="C139">
        <v>2.87622</v>
      </c>
      <c r="D139">
        <f t="shared" ref="D139:D148" si="41">B139-C139</f>
        <v>1.1852400000000003</v>
      </c>
      <c r="E139" s="1">
        <f t="shared" ref="E139:E148" si="42">D139/C139</f>
        <v>0.41208252498070397</v>
      </c>
      <c r="I139" t="s">
        <v>2</v>
      </c>
      <c r="J139" s="1">
        <f t="shared" ref="J139:J148" si="43">E139</f>
        <v>0.41208252498070397</v>
      </c>
      <c r="K139" s="1">
        <f t="shared" ref="K139:K148" si="44">E152</f>
        <v>0.40084207744887396</v>
      </c>
      <c r="U139" s="1">
        <f t="shared" si="40"/>
        <v>0.63767375003704696</v>
      </c>
    </row>
    <row r="140" spans="1:25" x14ac:dyDescent="0.25">
      <c r="A140" t="s">
        <v>3</v>
      </c>
      <c r="B140">
        <v>4.4205399999999999</v>
      </c>
      <c r="C140">
        <v>2.6992799999999999</v>
      </c>
      <c r="D140">
        <f t="shared" si="41"/>
        <v>1.72126</v>
      </c>
      <c r="E140" s="1">
        <f t="shared" si="42"/>
        <v>0.63767375003704696</v>
      </c>
      <c r="I140" t="s">
        <v>3</v>
      </c>
      <c r="J140" s="1">
        <f t="shared" si="43"/>
        <v>0.63767375003704696</v>
      </c>
      <c r="K140" s="1">
        <f t="shared" si="44"/>
        <v>0.46888429507127827</v>
      </c>
      <c r="U140" s="1">
        <f t="shared" si="40"/>
        <v>0.48587813770565241</v>
      </c>
    </row>
    <row r="141" spans="1:25" x14ac:dyDescent="0.25">
      <c r="A141" t="s">
        <v>4</v>
      </c>
      <c r="B141">
        <v>4.2466100000000004</v>
      </c>
      <c r="C141">
        <v>2.85798</v>
      </c>
      <c r="D141">
        <f t="shared" si="41"/>
        <v>1.3886300000000005</v>
      </c>
      <c r="E141" s="1">
        <f t="shared" si="42"/>
        <v>0.48587813770565241</v>
      </c>
      <c r="I141" t="s">
        <v>4</v>
      </c>
      <c r="J141" s="1">
        <f t="shared" si="43"/>
        <v>0.48587813770565241</v>
      </c>
      <c r="K141" s="1">
        <f t="shared" si="44"/>
        <v>0.32837178706638964</v>
      </c>
      <c r="U141" s="1">
        <f t="shared" si="40"/>
        <v>0.40352421331329713</v>
      </c>
    </row>
    <row r="142" spans="1:25" x14ac:dyDescent="0.25">
      <c r="A142" t="s">
        <v>5</v>
      </c>
      <c r="B142">
        <v>3.9227799999999999</v>
      </c>
      <c r="C142">
        <v>2.79495</v>
      </c>
      <c r="D142">
        <f t="shared" si="41"/>
        <v>1.1278299999999999</v>
      </c>
      <c r="E142" s="1">
        <f t="shared" si="42"/>
        <v>0.40352421331329713</v>
      </c>
      <c r="I142" t="s">
        <v>5</v>
      </c>
      <c r="J142" s="1">
        <f t="shared" si="43"/>
        <v>0.40352421331329713</v>
      </c>
      <c r="K142" s="1">
        <f t="shared" si="44"/>
        <v>0.4013095046423012</v>
      </c>
      <c r="U142" s="1">
        <f t="shared" si="40"/>
        <v>0.49899516214983053</v>
      </c>
    </row>
    <row r="143" spans="1:25" x14ac:dyDescent="0.25">
      <c r="A143" t="s">
        <v>6</v>
      </c>
      <c r="B143">
        <v>4.3037799999999997</v>
      </c>
      <c r="C143">
        <v>2.8711099999999998</v>
      </c>
      <c r="D143">
        <f t="shared" si="41"/>
        <v>1.4326699999999999</v>
      </c>
      <c r="E143" s="1">
        <f t="shared" si="42"/>
        <v>0.49899516214983053</v>
      </c>
      <c r="I143" t="s">
        <v>6</v>
      </c>
      <c r="J143" s="1">
        <f t="shared" si="43"/>
        <v>0.49899516214983053</v>
      </c>
      <c r="K143" s="1">
        <f t="shared" si="44"/>
        <v>0.41821107515908484</v>
      </c>
      <c r="U143" s="1">
        <f t="shared" si="40"/>
        <v>0.55300013137891557</v>
      </c>
    </row>
    <row r="144" spans="1:25" x14ac:dyDescent="0.25">
      <c r="A144" t="s">
        <v>7</v>
      </c>
      <c r="B144">
        <v>4.13727</v>
      </c>
      <c r="C144">
        <v>2.66405</v>
      </c>
      <c r="D144">
        <f t="shared" si="41"/>
        <v>1.47322</v>
      </c>
      <c r="E144" s="1">
        <f t="shared" si="42"/>
        <v>0.55300013137891557</v>
      </c>
      <c r="I144" t="s">
        <v>7</v>
      </c>
      <c r="J144" s="1">
        <f t="shared" si="43"/>
        <v>0.55300013137891557</v>
      </c>
      <c r="K144" s="1">
        <f t="shared" si="44"/>
        <v>0.55245584730016317</v>
      </c>
      <c r="U144" s="1">
        <f t="shared" si="40"/>
        <v>0.48151357697696939</v>
      </c>
    </row>
    <row r="145" spans="1:21" x14ac:dyDescent="0.25">
      <c r="A145" t="s">
        <v>8</v>
      </c>
      <c r="B145">
        <v>4.2398400000000001</v>
      </c>
      <c r="C145">
        <v>2.8618299999999999</v>
      </c>
      <c r="D145">
        <f t="shared" si="41"/>
        <v>1.3780100000000002</v>
      </c>
      <c r="E145" s="1">
        <f t="shared" si="42"/>
        <v>0.48151357697696939</v>
      </c>
      <c r="I145" t="s">
        <v>8</v>
      </c>
      <c r="J145" s="1">
        <f t="shared" si="43"/>
        <v>0.48151357697696939</v>
      </c>
      <c r="K145" s="1">
        <f t="shared" si="44"/>
        <v>0.51265099604099473</v>
      </c>
      <c r="U145" s="1">
        <f t="shared" si="40"/>
        <v>0.29293948803240549</v>
      </c>
    </row>
    <row r="146" spans="1:21" x14ac:dyDescent="0.25">
      <c r="A146" t="s">
        <v>9</v>
      </c>
      <c r="B146">
        <v>3.8558300000000001</v>
      </c>
      <c r="C146">
        <v>2.9822199999999999</v>
      </c>
      <c r="D146">
        <f t="shared" si="41"/>
        <v>0.87361000000000022</v>
      </c>
      <c r="E146" s="1">
        <f t="shared" si="42"/>
        <v>0.29293948803240549</v>
      </c>
      <c r="I146" t="s">
        <v>9</v>
      </c>
      <c r="J146" s="1">
        <f t="shared" si="43"/>
        <v>0.29293948803240549</v>
      </c>
      <c r="K146" s="1">
        <f t="shared" si="44"/>
        <v>0.34374392231290796</v>
      </c>
      <c r="U146" s="1">
        <f t="shared" si="40"/>
        <v>0.31804722363835708</v>
      </c>
    </row>
    <row r="147" spans="1:21" x14ac:dyDescent="0.25">
      <c r="A147" t="s">
        <v>10</v>
      </c>
      <c r="B147">
        <v>3.7746499999999998</v>
      </c>
      <c r="C147">
        <v>2.86382</v>
      </c>
      <c r="D147">
        <f t="shared" si="41"/>
        <v>0.91082999999999981</v>
      </c>
      <c r="E147" s="1">
        <f t="shared" si="42"/>
        <v>0.31804722363835708</v>
      </c>
      <c r="I147" t="s">
        <v>10</v>
      </c>
      <c r="J147" s="1">
        <f t="shared" si="43"/>
        <v>0.31804722363835708</v>
      </c>
      <c r="K147" s="1">
        <f t="shared" si="44"/>
        <v>0.31833704632274373</v>
      </c>
      <c r="U147" s="1">
        <f t="shared" si="40"/>
        <v>0.31426616647704553</v>
      </c>
    </row>
    <row r="148" spans="1:21" x14ac:dyDescent="0.25">
      <c r="A148" t="s">
        <v>11</v>
      </c>
      <c r="B148">
        <v>10.257899999999999</v>
      </c>
      <c r="C148">
        <v>7.80504</v>
      </c>
      <c r="D148">
        <f t="shared" si="41"/>
        <v>2.4528599999999994</v>
      </c>
      <c r="E148" s="1">
        <f t="shared" si="42"/>
        <v>0.31426616647704553</v>
      </c>
      <c r="I148" t="s">
        <v>11</v>
      </c>
      <c r="J148" s="1">
        <f t="shared" si="43"/>
        <v>0.31426616647704553</v>
      </c>
      <c r="K148" s="1">
        <f t="shared" si="44"/>
        <v>0.31740516384285039</v>
      </c>
      <c r="U148" s="1">
        <f t="shared" ref="U148:U157" si="45">K139</f>
        <v>0.40084207744887396</v>
      </c>
    </row>
    <row r="149" spans="1:21" x14ac:dyDescent="0.25">
      <c r="U149" s="1">
        <f t="shared" si="45"/>
        <v>0.46888429507127827</v>
      </c>
    </row>
    <row r="150" spans="1:21" x14ac:dyDescent="0.25">
      <c r="U150" s="1">
        <f t="shared" si="45"/>
        <v>0.32837178706638964</v>
      </c>
    </row>
    <row r="151" spans="1:21" x14ac:dyDescent="0.25">
      <c r="A151" t="s">
        <v>1</v>
      </c>
      <c r="B151" t="s">
        <v>14</v>
      </c>
      <c r="C151" t="s">
        <v>13</v>
      </c>
      <c r="I151" t="s">
        <v>19</v>
      </c>
      <c r="J151" s="2">
        <f>AVERAGE(J139:J148)</f>
        <v>0.4397920374690224</v>
      </c>
      <c r="K151" s="2">
        <f>AVERAGE(K139:K148)</f>
        <v>0.40622117152075876</v>
      </c>
      <c r="U151" s="1">
        <f t="shared" si="45"/>
        <v>0.4013095046423012</v>
      </c>
    </row>
    <row r="152" spans="1:21" x14ac:dyDescent="0.25">
      <c r="A152" t="s">
        <v>2</v>
      </c>
      <c r="B152">
        <v>4.0291300000000003</v>
      </c>
      <c r="C152">
        <v>2.87622</v>
      </c>
      <c r="D152">
        <f t="shared" ref="D152:D161" si="46">B152-C152</f>
        <v>1.1529100000000003</v>
      </c>
      <c r="E152" s="1">
        <f t="shared" ref="E152:E161" si="47">D152/C152</f>
        <v>0.40084207744887396</v>
      </c>
      <c r="N152" t="s">
        <v>20</v>
      </c>
      <c r="O152" s="2">
        <f>MIN(U138:U157)</f>
        <v>0.29293948803240549</v>
      </c>
      <c r="U152" s="1">
        <f t="shared" si="45"/>
        <v>0.41821107515908484</v>
      </c>
    </row>
    <row r="153" spans="1:21" x14ac:dyDescent="0.25">
      <c r="A153" t="s">
        <v>3</v>
      </c>
      <c r="B153">
        <v>3.9649299999999998</v>
      </c>
      <c r="C153">
        <v>2.6992799999999999</v>
      </c>
      <c r="D153">
        <f t="shared" si="46"/>
        <v>1.2656499999999999</v>
      </c>
      <c r="E153" s="1">
        <f t="shared" si="47"/>
        <v>0.46888429507127827</v>
      </c>
      <c r="N153" t="s">
        <v>21</v>
      </c>
      <c r="O153" s="2">
        <f>MAX(U138:U157)</f>
        <v>0.63767375003704696</v>
      </c>
      <c r="U153" s="1">
        <f t="shared" si="45"/>
        <v>0.55245584730016317</v>
      </c>
    </row>
    <row r="154" spans="1:21" x14ac:dyDescent="0.25">
      <c r="A154" t="s">
        <v>4</v>
      </c>
      <c r="B154">
        <v>3.7964600000000002</v>
      </c>
      <c r="C154">
        <v>2.85798</v>
      </c>
      <c r="D154">
        <f t="shared" si="46"/>
        <v>0.9384800000000002</v>
      </c>
      <c r="E154" s="1">
        <f t="shared" si="47"/>
        <v>0.32837178706638964</v>
      </c>
      <c r="N154" t="s">
        <v>22</v>
      </c>
      <c r="O154" s="2">
        <f>AVERAGE(U138:U157)</f>
        <v>0.42300660449489058</v>
      </c>
      <c r="U154" s="1">
        <f t="shared" si="45"/>
        <v>0.51265099604099473</v>
      </c>
    </row>
    <row r="155" spans="1:21" x14ac:dyDescent="0.25">
      <c r="A155" t="s">
        <v>5</v>
      </c>
      <c r="B155">
        <v>3.9165899999999998</v>
      </c>
      <c r="C155">
        <v>2.79495</v>
      </c>
      <c r="D155">
        <f t="shared" si="46"/>
        <v>1.1216399999999997</v>
      </c>
      <c r="E155" s="1">
        <f t="shared" si="47"/>
        <v>0.4013095046423012</v>
      </c>
      <c r="U155" s="1">
        <f t="shared" si="45"/>
        <v>0.34374392231290796</v>
      </c>
    </row>
    <row r="156" spans="1:21" x14ac:dyDescent="0.25">
      <c r="A156" t="s">
        <v>6</v>
      </c>
      <c r="B156">
        <v>4.0718399999999999</v>
      </c>
      <c r="C156">
        <v>2.8711099999999998</v>
      </c>
      <c r="D156">
        <f t="shared" si="46"/>
        <v>1.2007300000000001</v>
      </c>
      <c r="E156" s="1">
        <f t="shared" si="47"/>
        <v>0.41821107515908484</v>
      </c>
      <c r="U156" s="1">
        <f t="shared" si="45"/>
        <v>0.31833704632274373</v>
      </c>
    </row>
    <row r="157" spans="1:21" x14ac:dyDescent="0.25">
      <c r="A157" t="s">
        <v>7</v>
      </c>
      <c r="B157">
        <v>4.1358199999999998</v>
      </c>
      <c r="C157">
        <v>2.66405</v>
      </c>
      <c r="D157">
        <f t="shared" si="46"/>
        <v>1.4717699999999998</v>
      </c>
      <c r="E157" s="1">
        <f t="shared" si="47"/>
        <v>0.55245584730016317</v>
      </c>
      <c r="U157" s="1">
        <f t="shared" si="45"/>
        <v>0.31740516384285039</v>
      </c>
    </row>
    <row r="158" spans="1:21" x14ac:dyDescent="0.25">
      <c r="A158" t="s">
        <v>8</v>
      </c>
      <c r="B158">
        <v>4.3289499999999999</v>
      </c>
      <c r="C158">
        <v>2.8618299999999999</v>
      </c>
      <c r="D158">
        <f t="shared" si="46"/>
        <v>1.46712</v>
      </c>
      <c r="E158" s="1">
        <f t="shared" si="47"/>
        <v>0.51265099604099473</v>
      </c>
    </row>
    <row r="159" spans="1:21" x14ac:dyDescent="0.25">
      <c r="A159" t="s">
        <v>9</v>
      </c>
      <c r="B159">
        <v>4.0073400000000001</v>
      </c>
      <c r="C159">
        <v>2.9822199999999999</v>
      </c>
      <c r="D159">
        <f t="shared" si="46"/>
        <v>1.0251200000000003</v>
      </c>
      <c r="E159" s="1">
        <f t="shared" si="47"/>
        <v>0.34374392231290796</v>
      </c>
    </row>
    <row r="160" spans="1:21" x14ac:dyDescent="0.25">
      <c r="A160" t="s">
        <v>10</v>
      </c>
      <c r="B160">
        <v>3.7754799999999999</v>
      </c>
      <c r="C160">
        <v>2.86382</v>
      </c>
      <c r="D160">
        <f t="shared" si="46"/>
        <v>0.91165999999999991</v>
      </c>
      <c r="E160" s="1">
        <f t="shared" si="47"/>
        <v>0.31833704632274373</v>
      </c>
    </row>
    <row r="161" spans="1:25" x14ac:dyDescent="0.25">
      <c r="A161" t="s">
        <v>11</v>
      </c>
      <c r="B161">
        <v>10.282400000000001</v>
      </c>
      <c r="C161">
        <v>7.80504</v>
      </c>
      <c r="D161">
        <f t="shared" si="46"/>
        <v>2.4773600000000009</v>
      </c>
      <c r="E161" s="1">
        <f t="shared" si="47"/>
        <v>0.31740516384285039</v>
      </c>
    </row>
    <row r="163" spans="1:25" x14ac:dyDescent="0.25">
      <c r="A163" s="6" t="s">
        <v>32</v>
      </c>
      <c r="B163" s="6"/>
    </row>
    <row r="165" spans="1:25" x14ac:dyDescent="0.25">
      <c r="A165" t="s">
        <v>1</v>
      </c>
      <c r="B165" t="s">
        <v>12</v>
      </c>
      <c r="C165" t="s">
        <v>13</v>
      </c>
      <c r="E165" t="s">
        <v>15</v>
      </c>
      <c r="I165" t="s">
        <v>16</v>
      </c>
      <c r="J165" t="s">
        <v>17</v>
      </c>
      <c r="K165" t="s">
        <v>18</v>
      </c>
      <c r="U165" s="1">
        <f t="shared" ref="U165:U174" si="48">J166</f>
        <v>0.14633746367089015</v>
      </c>
      <c r="W165" s="2">
        <f>O179</f>
        <v>9.0826616497379609E-2</v>
      </c>
      <c r="X165" s="2">
        <f>O180</f>
        <v>0.33734181318527684</v>
      </c>
      <c r="Y165" s="2">
        <f>O181</f>
        <v>0.15519340939139886</v>
      </c>
    </row>
    <row r="166" spans="1:25" x14ac:dyDescent="0.25">
      <c r="A166" t="s">
        <v>2</v>
      </c>
      <c r="B166" s="3">
        <v>1.3715244651810501</v>
      </c>
      <c r="C166" s="3">
        <v>1.19644041012936</v>
      </c>
      <c r="D166">
        <f t="shared" ref="D166:D175" si="49">B166-C166</f>
        <v>0.17508405505169011</v>
      </c>
      <c r="E166" s="1">
        <f t="shared" ref="E166:E175" si="50">D166/C166</f>
        <v>0.14633746367089015</v>
      </c>
      <c r="I166" t="s">
        <v>2</v>
      </c>
      <c r="J166" s="1">
        <f t="shared" ref="J166:J175" si="51">E166</f>
        <v>0.14633746367089015</v>
      </c>
      <c r="K166" s="1">
        <f t="shared" ref="K166:K175" si="52">E179</f>
        <v>0.14602757365951877</v>
      </c>
      <c r="U166" s="1">
        <f t="shared" si="48"/>
        <v>0.1463397708432172</v>
      </c>
    </row>
    <row r="167" spans="1:25" x14ac:dyDescent="0.25">
      <c r="A167" t="s">
        <v>3</v>
      </c>
      <c r="B167" s="3">
        <v>1.3751894030266401</v>
      </c>
      <c r="C167" s="3">
        <v>1.1996350802825999</v>
      </c>
      <c r="D167">
        <f t="shared" si="49"/>
        <v>0.17555432274404015</v>
      </c>
      <c r="E167" s="1">
        <f t="shared" si="50"/>
        <v>0.1463397708432172</v>
      </c>
      <c r="I167" t="s">
        <v>3</v>
      </c>
      <c r="J167" s="1">
        <f t="shared" si="51"/>
        <v>0.1463397708432172</v>
      </c>
      <c r="K167" s="1">
        <f t="shared" si="52"/>
        <v>0.15777577040759158</v>
      </c>
      <c r="U167" s="1">
        <f t="shared" si="48"/>
        <v>0.15062896983064483</v>
      </c>
    </row>
    <row r="168" spans="1:25" x14ac:dyDescent="0.25">
      <c r="A168" t="s">
        <v>4</v>
      </c>
      <c r="B168" s="3">
        <v>1.4017102711234899</v>
      </c>
      <c r="C168" s="3">
        <v>1.2182122194696701</v>
      </c>
      <c r="D168">
        <f t="shared" si="49"/>
        <v>0.18349805165381983</v>
      </c>
      <c r="E168" s="1">
        <f t="shared" si="50"/>
        <v>0.15062896983064483</v>
      </c>
      <c r="I168" t="s">
        <v>4</v>
      </c>
      <c r="J168" s="1">
        <f t="shared" si="51"/>
        <v>0.15062896983064483</v>
      </c>
      <c r="K168" s="1">
        <f t="shared" si="52"/>
        <v>0.14612777188798509</v>
      </c>
      <c r="U168" s="1">
        <f t="shared" si="48"/>
        <v>0.1384359431260169</v>
      </c>
    </row>
    <row r="169" spans="1:25" x14ac:dyDescent="0.25">
      <c r="A169" t="s">
        <v>5</v>
      </c>
      <c r="B169" s="3">
        <v>1.3947172813370401</v>
      </c>
      <c r="C169" s="3">
        <v>1.22511704743554</v>
      </c>
      <c r="D169">
        <f t="shared" si="49"/>
        <v>0.16960023390150014</v>
      </c>
      <c r="E169" s="1">
        <f t="shared" si="50"/>
        <v>0.1384359431260169</v>
      </c>
      <c r="I169" t="s">
        <v>5</v>
      </c>
      <c r="J169" s="1">
        <f t="shared" si="51"/>
        <v>0.1384359431260169</v>
      </c>
      <c r="K169" s="1">
        <f t="shared" si="52"/>
        <v>0.12685181806560977</v>
      </c>
      <c r="U169" s="1">
        <f t="shared" si="48"/>
        <v>0.14714229031079634</v>
      </c>
    </row>
    <row r="170" spans="1:25" x14ac:dyDescent="0.25">
      <c r="A170" t="s">
        <v>6</v>
      </c>
      <c r="B170" s="3">
        <v>1.42506928047534</v>
      </c>
      <c r="C170" s="3">
        <v>1.2422776952013901</v>
      </c>
      <c r="D170">
        <f t="shared" si="49"/>
        <v>0.1827915852739499</v>
      </c>
      <c r="E170" s="1">
        <f t="shared" si="50"/>
        <v>0.14714229031079634</v>
      </c>
      <c r="I170" t="s">
        <v>6</v>
      </c>
      <c r="J170" s="1">
        <f t="shared" si="51"/>
        <v>0.14714229031079634</v>
      </c>
      <c r="K170" s="1">
        <f t="shared" si="52"/>
        <v>0.12609067445317571</v>
      </c>
      <c r="U170" s="1">
        <f t="shared" si="48"/>
        <v>0.14329594941999213</v>
      </c>
    </row>
    <row r="171" spans="1:25" x14ac:dyDescent="0.25">
      <c r="A171" t="s">
        <v>7</v>
      </c>
      <c r="B171" s="3">
        <v>1.41321641318476</v>
      </c>
      <c r="C171" s="3">
        <v>1.23608975777593</v>
      </c>
      <c r="D171">
        <f t="shared" si="49"/>
        <v>0.17712665540882999</v>
      </c>
      <c r="E171" s="1">
        <f t="shared" si="50"/>
        <v>0.14329594941999213</v>
      </c>
      <c r="I171" t="s">
        <v>7</v>
      </c>
      <c r="J171" s="1">
        <f t="shared" si="51"/>
        <v>0.14329594941999213</v>
      </c>
      <c r="K171" s="1">
        <f t="shared" si="52"/>
        <v>0.14008563473536925</v>
      </c>
      <c r="U171" s="1">
        <f t="shared" si="48"/>
        <v>0.1446768055558573</v>
      </c>
    </row>
    <row r="172" spans="1:25" x14ac:dyDescent="0.25">
      <c r="A172" t="s">
        <v>8</v>
      </c>
      <c r="B172" s="3">
        <v>1.41791102775971</v>
      </c>
      <c r="C172" s="3">
        <v>1.23869988531057</v>
      </c>
      <c r="D172">
        <f t="shared" si="49"/>
        <v>0.17921114244914005</v>
      </c>
      <c r="E172" s="1">
        <f t="shared" si="50"/>
        <v>0.1446768055558573</v>
      </c>
      <c r="I172" t="s">
        <v>8</v>
      </c>
      <c r="J172" s="1">
        <f t="shared" si="51"/>
        <v>0.1446768055558573</v>
      </c>
      <c r="K172" s="1">
        <f t="shared" si="52"/>
        <v>0.15287008689978465</v>
      </c>
      <c r="U172" s="1">
        <f t="shared" si="48"/>
        <v>0.11946299937052743</v>
      </c>
    </row>
    <row r="173" spans="1:25" x14ac:dyDescent="0.25">
      <c r="A173" t="s">
        <v>9</v>
      </c>
      <c r="B173" s="3">
        <v>1.4516220417827199</v>
      </c>
      <c r="C173" s="3">
        <v>1.2967128369575101</v>
      </c>
      <c r="D173">
        <f t="shared" si="49"/>
        <v>0.15490920482520987</v>
      </c>
      <c r="E173" s="1">
        <f t="shared" si="50"/>
        <v>0.11946299937052743</v>
      </c>
      <c r="I173" t="s">
        <v>9</v>
      </c>
      <c r="J173" s="1">
        <f t="shared" si="51"/>
        <v>0.11946299937052743</v>
      </c>
      <c r="K173" s="1">
        <f t="shared" si="52"/>
        <v>0.11402140151511791</v>
      </c>
      <c r="U173" s="1">
        <f t="shared" si="48"/>
        <v>0.10192682362044443</v>
      </c>
    </row>
    <row r="174" spans="1:25" x14ac:dyDescent="0.25">
      <c r="A174" t="s">
        <v>10</v>
      </c>
      <c r="B174" s="3">
        <v>1.5024643676880101</v>
      </c>
      <c r="C174" s="3">
        <v>1.3634883328745699</v>
      </c>
      <c r="D174">
        <f t="shared" si="49"/>
        <v>0.13897603481344012</v>
      </c>
      <c r="E174" s="1">
        <f t="shared" si="50"/>
        <v>0.10192682362044443</v>
      </c>
      <c r="I174" t="s">
        <v>10</v>
      </c>
      <c r="J174" s="1">
        <f t="shared" si="51"/>
        <v>0.10192682362044443</v>
      </c>
      <c r="K174" s="1">
        <f t="shared" si="52"/>
        <v>9.0826616497379609E-2</v>
      </c>
      <c r="U174" s="1">
        <f t="shared" si="48"/>
        <v>0.33734181318527684</v>
      </c>
    </row>
    <row r="175" spans="1:25" x14ac:dyDescent="0.25">
      <c r="A175" t="s">
        <v>11</v>
      </c>
      <c r="B175" s="3">
        <v>3.3561264515829499</v>
      </c>
      <c r="C175" s="3">
        <v>2.5095502275438002</v>
      </c>
      <c r="D175">
        <f t="shared" si="49"/>
        <v>0.84657622403914967</v>
      </c>
      <c r="E175" s="1">
        <f t="shared" si="50"/>
        <v>0.33734181318527684</v>
      </c>
      <c r="I175" t="s">
        <v>11</v>
      </c>
      <c r="J175" s="1">
        <f t="shared" si="51"/>
        <v>0.33734181318527684</v>
      </c>
      <c r="K175" s="1">
        <f t="shared" si="52"/>
        <v>0.32760201077278139</v>
      </c>
      <c r="U175" s="1">
        <f t="shared" ref="U175:U184" si="53">K166</f>
        <v>0.14602757365951877</v>
      </c>
    </row>
    <row r="176" spans="1:25" x14ac:dyDescent="0.25">
      <c r="U176" s="1">
        <f t="shared" si="53"/>
        <v>0.15777577040759158</v>
      </c>
    </row>
    <row r="177" spans="1:25" x14ac:dyDescent="0.25">
      <c r="U177" s="1">
        <f t="shared" si="53"/>
        <v>0.14612777188798509</v>
      </c>
    </row>
    <row r="178" spans="1:25" x14ac:dyDescent="0.25">
      <c r="A178" t="s">
        <v>1</v>
      </c>
      <c r="B178" t="s">
        <v>14</v>
      </c>
      <c r="C178" t="s">
        <v>13</v>
      </c>
      <c r="I178" t="s">
        <v>19</v>
      </c>
      <c r="J178" s="2">
        <f>AVERAGE(J166:J175)</f>
        <v>0.15755888289336634</v>
      </c>
      <c r="K178" s="2">
        <f>AVERAGE(K166:K175)</f>
        <v>0.15282793588943139</v>
      </c>
      <c r="U178" s="1">
        <f t="shared" si="53"/>
        <v>0.12685181806560977</v>
      </c>
    </row>
    <row r="179" spans="1:25" x14ac:dyDescent="0.25">
      <c r="A179" t="s">
        <v>2</v>
      </c>
      <c r="B179" s="3">
        <v>1.3711537002487499</v>
      </c>
      <c r="C179" s="3">
        <v>1.19644041012936</v>
      </c>
      <c r="D179">
        <f t="shared" ref="D179:D188" si="54">B179-C179</f>
        <v>0.17471329011938996</v>
      </c>
      <c r="E179" s="1">
        <f t="shared" ref="E179:E188" si="55">D179/C179</f>
        <v>0.14602757365951877</v>
      </c>
      <c r="N179" t="s">
        <v>20</v>
      </c>
      <c r="O179" s="2">
        <f>MIN(U165:U184)</f>
        <v>9.0826616497379609E-2</v>
      </c>
      <c r="U179" s="1">
        <f t="shared" si="53"/>
        <v>0.12609067445317571</v>
      </c>
    </row>
    <row r="180" spans="1:25" x14ac:dyDescent="0.25">
      <c r="A180" t="s">
        <v>3</v>
      </c>
      <c r="B180" s="3">
        <v>1.3889084292821601</v>
      </c>
      <c r="C180" s="3">
        <v>1.1996350802825999</v>
      </c>
      <c r="D180">
        <f t="shared" si="54"/>
        <v>0.18927334899956016</v>
      </c>
      <c r="E180" s="1">
        <f t="shared" si="55"/>
        <v>0.15777577040759158</v>
      </c>
      <c r="N180" t="s">
        <v>21</v>
      </c>
      <c r="O180" s="2">
        <f>MAX(U165:U184)</f>
        <v>0.33734181318527684</v>
      </c>
      <c r="U180" s="1">
        <f t="shared" si="53"/>
        <v>0.14008563473536925</v>
      </c>
    </row>
    <row r="181" spans="1:25" x14ac:dyDescent="0.25">
      <c r="A181" t="s">
        <v>4</v>
      </c>
      <c r="B181" s="3">
        <v>1.39622685678749</v>
      </c>
      <c r="C181" s="3">
        <v>1.2182122194696701</v>
      </c>
      <c r="D181">
        <f t="shared" si="54"/>
        <v>0.17801463731781997</v>
      </c>
      <c r="E181" s="1">
        <f t="shared" si="55"/>
        <v>0.14612777188798509</v>
      </c>
      <c r="N181" t="s">
        <v>22</v>
      </c>
      <c r="O181" s="2">
        <f>AVERAGE(U165:U184)</f>
        <v>0.15519340939139886</v>
      </c>
      <c r="U181" s="1">
        <f t="shared" si="53"/>
        <v>0.15287008689978465</v>
      </c>
    </row>
    <row r="182" spans="1:25" x14ac:dyDescent="0.25">
      <c r="A182" t="s">
        <v>5</v>
      </c>
      <c r="B182" s="3">
        <v>1.3805253722459101</v>
      </c>
      <c r="C182" s="3">
        <v>1.22511704743554</v>
      </c>
      <c r="D182">
        <f t="shared" si="54"/>
        <v>0.15540832481037015</v>
      </c>
      <c r="E182" s="1">
        <f t="shared" si="55"/>
        <v>0.12685181806560977</v>
      </c>
      <c r="U182" s="1">
        <f t="shared" si="53"/>
        <v>0.11402140151511791</v>
      </c>
    </row>
    <row r="183" spans="1:25" x14ac:dyDescent="0.25">
      <c r="A183" t="s">
        <v>6</v>
      </c>
      <c r="B183" s="3">
        <v>1.39891732764747</v>
      </c>
      <c r="C183" s="3">
        <v>1.2422776952013901</v>
      </c>
      <c r="D183">
        <f t="shared" si="54"/>
        <v>0.15663963244607992</v>
      </c>
      <c r="E183" s="1">
        <f t="shared" si="55"/>
        <v>0.12609067445317571</v>
      </c>
      <c r="U183" s="1">
        <f t="shared" si="53"/>
        <v>9.0826616497379609E-2</v>
      </c>
    </row>
    <row r="184" spans="1:25" x14ac:dyDescent="0.25">
      <c r="A184" t="s">
        <v>7</v>
      </c>
      <c r="B184" s="3">
        <v>1.40924817608386</v>
      </c>
      <c r="C184" s="3">
        <v>1.23608975777593</v>
      </c>
      <c r="D184">
        <f t="shared" si="54"/>
        <v>0.17315841830793</v>
      </c>
      <c r="E184" s="1">
        <f t="shared" si="55"/>
        <v>0.14008563473536925</v>
      </c>
      <c r="U184" s="1">
        <f t="shared" si="53"/>
        <v>0.32760201077278139</v>
      </c>
    </row>
    <row r="185" spans="1:25" x14ac:dyDescent="0.25">
      <c r="A185" t="s">
        <v>8</v>
      </c>
      <c r="B185" s="3">
        <v>1.4280600444207501</v>
      </c>
      <c r="C185" s="3">
        <v>1.23869988531057</v>
      </c>
      <c r="D185">
        <f t="shared" si="54"/>
        <v>0.18936015911018012</v>
      </c>
      <c r="E185" s="1">
        <f t="shared" si="55"/>
        <v>0.15287008689978465</v>
      </c>
    </row>
    <row r="186" spans="1:25" x14ac:dyDescent="0.25">
      <c r="A186" t="s">
        <v>9</v>
      </c>
      <c r="B186" s="3">
        <v>1.4445658519900499</v>
      </c>
      <c r="C186" s="3">
        <v>1.2967128369575101</v>
      </c>
      <c r="D186">
        <f t="shared" si="54"/>
        <v>0.14785301503253989</v>
      </c>
      <c r="E186" s="1">
        <f t="shared" si="55"/>
        <v>0.11402140151511791</v>
      </c>
    </row>
    <row r="187" spans="1:25" x14ac:dyDescent="0.25">
      <c r="A187" t="s">
        <v>10</v>
      </c>
      <c r="B187" s="3">
        <v>1.48732936478322</v>
      </c>
      <c r="C187" s="3">
        <v>1.3634883328745699</v>
      </c>
      <c r="D187">
        <f t="shared" si="54"/>
        <v>0.12384103190865003</v>
      </c>
      <c r="E187" s="1">
        <f t="shared" si="55"/>
        <v>9.0826616497379609E-2</v>
      </c>
    </row>
    <row r="188" spans="1:25" x14ac:dyDescent="0.25">
      <c r="A188" t="s">
        <v>11</v>
      </c>
      <c r="B188" s="3">
        <v>3.3316839282224402</v>
      </c>
      <c r="C188" s="3">
        <v>2.5095502275438002</v>
      </c>
      <c r="D188">
        <f t="shared" si="54"/>
        <v>0.82213370067864</v>
      </c>
      <c r="E188" s="1">
        <f t="shared" si="55"/>
        <v>0.32760201077278139</v>
      </c>
    </row>
    <row r="190" spans="1:25" x14ac:dyDescent="0.25">
      <c r="A190" s="6" t="s">
        <v>33</v>
      </c>
      <c r="B190" s="6"/>
    </row>
    <row r="192" spans="1:25" x14ac:dyDescent="0.25">
      <c r="A192" t="s">
        <v>1</v>
      </c>
      <c r="B192" t="s">
        <v>12</v>
      </c>
      <c r="C192" t="s">
        <v>13</v>
      </c>
      <c r="E192" t="s">
        <v>15</v>
      </c>
      <c r="I192" t="s">
        <v>16</v>
      </c>
      <c r="J192" t="s">
        <v>17</v>
      </c>
      <c r="K192" t="s">
        <v>18</v>
      </c>
      <c r="U192" s="1">
        <f t="shared" ref="U192:U201" si="56">J193</f>
        <v>0.70958036468484809</v>
      </c>
      <c r="W192" s="2">
        <f>O206</f>
        <v>0.53328411689504285</v>
      </c>
      <c r="X192" s="2">
        <f>O207</f>
        <v>0.81006136426125441</v>
      </c>
      <c r="Y192" s="2">
        <f>O208</f>
        <v>0.67486848775678665</v>
      </c>
    </row>
    <row r="193" spans="1:21" x14ac:dyDescent="0.25">
      <c r="A193" t="s">
        <v>2</v>
      </c>
      <c r="B193">
        <v>5.7275900000000002</v>
      </c>
      <c r="C193">
        <v>3.3502900000000002</v>
      </c>
      <c r="D193">
        <f t="shared" ref="D193:D202" si="57">B193-C193</f>
        <v>2.3773</v>
      </c>
      <c r="E193" s="1">
        <f t="shared" ref="E193:E202" si="58">D193/C193</f>
        <v>0.70958036468484809</v>
      </c>
      <c r="I193" t="s">
        <v>2</v>
      </c>
      <c r="J193" s="1">
        <f t="shared" ref="J193:J202" si="59">E193</f>
        <v>0.70958036468484809</v>
      </c>
      <c r="K193" s="1">
        <f t="shared" ref="K193:K202" si="60">E206</f>
        <v>0.69045067740404553</v>
      </c>
      <c r="U193" s="1">
        <f t="shared" si="56"/>
        <v>0.62816508293977247</v>
      </c>
    </row>
    <row r="194" spans="1:21" x14ac:dyDescent="0.25">
      <c r="A194" t="s">
        <v>3</v>
      </c>
      <c r="B194">
        <v>5.4367200000000002</v>
      </c>
      <c r="C194">
        <v>3.3391700000000002</v>
      </c>
      <c r="D194">
        <f t="shared" si="57"/>
        <v>2.09755</v>
      </c>
      <c r="E194" s="1">
        <f t="shared" si="58"/>
        <v>0.62816508293977247</v>
      </c>
      <c r="I194" t="s">
        <v>3</v>
      </c>
      <c r="J194" s="1">
        <f t="shared" si="59"/>
        <v>0.62816508293977247</v>
      </c>
      <c r="K194" s="1">
        <f t="shared" si="60"/>
        <v>0.71566287430708808</v>
      </c>
      <c r="U194" s="1">
        <f t="shared" si="56"/>
        <v>0.69052533677357419</v>
      </c>
    </row>
    <row r="195" spans="1:21" x14ac:dyDescent="0.25">
      <c r="A195" t="s">
        <v>4</v>
      </c>
      <c r="B195">
        <v>5.63469</v>
      </c>
      <c r="C195">
        <v>3.3331</v>
      </c>
      <c r="D195">
        <f t="shared" si="57"/>
        <v>2.30159</v>
      </c>
      <c r="E195" s="1">
        <f t="shared" si="58"/>
        <v>0.69052533677357419</v>
      </c>
      <c r="I195" t="s">
        <v>4</v>
      </c>
      <c r="J195" s="1">
        <f t="shared" si="59"/>
        <v>0.69052533677357419</v>
      </c>
      <c r="K195" s="1">
        <f t="shared" si="60"/>
        <v>0.67807146500255033</v>
      </c>
      <c r="U195" s="1">
        <f t="shared" si="56"/>
        <v>0.68110015062100293</v>
      </c>
    </row>
    <row r="196" spans="1:21" x14ac:dyDescent="0.25">
      <c r="A196" t="s">
        <v>5</v>
      </c>
      <c r="B196">
        <v>5.4466299999999999</v>
      </c>
      <c r="C196">
        <v>3.2399200000000001</v>
      </c>
      <c r="D196">
        <f t="shared" si="57"/>
        <v>2.2067099999999997</v>
      </c>
      <c r="E196" s="1">
        <f t="shared" si="58"/>
        <v>0.68110015062100293</v>
      </c>
      <c r="I196" t="s">
        <v>5</v>
      </c>
      <c r="J196" s="1">
        <f t="shared" si="59"/>
        <v>0.68110015062100293</v>
      </c>
      <c r="K196" s="1">
        <f t="shared" si="60"/>
        <v>0.70602051902516116</v>
      </c>
      <c r="U196" s="1">
        <f t="shared" si="56"/>
        <v>0.70778393756135538</v>
      </c>
    </row>
    <row r="197" spans="1:21" x14ac:dyDescent="0.25">
      <c r="A197" t="s">
        <v>6</v>
      </c>
      <c r="B197">
        <v>5.9669800000000004</v>
      </c>
      <c r="C197">
        <v>3.4939900000000002</v>
      </c>
      <c r="D197">
        <f t="shared" si="57"/>
        <v>2.4729900000000002</v>
      </c>
      <c r="E197" s="1">
        <f t="shared" si="58"/>
        <v>0.70778393756135538</v>
      </c>
      <c r="I197" t="s">
        <v>6</v>
      </c>
      <c r="J197" s="1">
        <f t="shared" si="59"/>
        <v>0.70778393756135538</v>
      </c>
      <c r="K197" s="1">
        <f t="shared" si="60"/>
        <v>0.634383613004044</v>
      </c>
      <c r="U197" s="1">
        <f t="shared" si="56"/>
        <v>0.81006136426125441</v>
      </c>
    </row>
    <row r="198" spans="1:21" x14ac:dyDescent="0.25">
      <c r="A198" t="s">
        <v>7</v>
      </c>
      <c r="B198">
        <v>5.7932100000000002</v>
      </c>
      <c r="C198">
        <v>3.2005599999999998</v>
      </c>
      <c r="D198">
        <f t="shared" si="57"/>
        <v>2.5926500000000003</v>
      </c>
      <c r="E198" s="1">
        <f t="shared" si="58"/>
        <v>0.81006136426125441</v>
      </c>
      <c r="I198" t="s">
        <v>7</v>
      </c>
      <c r="J198" s="1">
        <f t="shared" si="59"/>
        <v>0.81006136426125441</v>
      </c>
      <c r="K198" s="1">
        <f t="shared" si="60"/>
        <v>0.75222148623990803</v>
      </c>
      <c r="U198" s="1">
        <f t="shared" si="56"/>
        <v>0.70923836623858083</v>
      </c>
    </row>
    <row r="199" spans="1:21" x14ac:dyDescent="0.25">
      <c r="A199" t="s">
        <v>8</v>
      </c>
      <c r="B199">
        <v>5.6524000000000001</v>
      </c>
      <c r="C199">
        <v>3.3069700000000002</v>
      </c>
      <c r="D199">
        <f t="shared" si="57"/>
        <v>2.3454299999999999</v>
      </c>
      <c r="E199" s="1">
        <f t="shared" si="58"/>
        <v>0.70923836623858083</v>
      </c>
      <c r="I199" t="s">
        <v>8</v>
      </c>
      <c r="J199" s="1">
        <f t="shared" si="59"/>
        <v>0.70923836623858083</v>
      </c>
      <c r="K199" s="1">
        <f t="shared" si="60"/>
        <v>0.78952031618067275</v>
      </c>
      <c r="U199" s="1">
        <f t="shared" si="56"/>
        <v>0.61503512137427718</v>
      </c>
    </row>
    <row r="200" spans="1:21" x14ac:dyDescent="0.25">
      <c r="A200" t="s">
        <v>9</v>
      </c>
      <c r="B200">
        <v>5.5986000000000002</v>
      </c>
      <c r="C200">
        <v>3.4665499999999998</v>
      </c>
      <c r="D200">
        <f t="shared" si="57"/>
        <v>2.1320500000000004</v>
      </c>
      <c r="E200" s="1">
        <f t="shared" si="58"/>
        <v>0.61503512137427718</v>
      </c>
      <c r="I200" t="s">
        <v>9</v>
      </c>
      <c r="J200" s="1">
        <f t="shared" si="59"/>
        <v>0.61503512137427718</v>
      </c>
      <c r="K200" s="1">
        <f t="shared" si="60"/>
        <v>0.58320231930882294</v>
      </c>
      <c r="U200" s="1">
        <f t="shared" si="56"/>
        <v>0.53328411689504285</v>
      </c>
    </row>
    <row r="201" spans="1:21" x14ac:dyDescent="0.25">
      <c r="A201" t="s">
        <v>10</v>
      </c>
      <c r="B201">
        <v>5.1092399999999998</v>
      </c>
      <c r="C201">
        <v>3.33222</v>
      </c>
      <c r="D201">
        <f t="shared" si="57"/>
        <v>1.7770199999999998</v>
      </c>
      <c r="E201" s="1">
        <f t="shared" si="58"/>
        <v>0.53328411689504285</v>
      </c>
      <c r="I201" t="s">
        <v>10</v>
      </c>
      <c r="J201" s="1">
        <f t="shared" si="59"/>
        <v>0.53328411689504285</v>
      </c>
      <c r="K201" s="1">
        <f t="shared" si="60"/>
        <v>0.56999837945873932</v>
      </c>
      <c r="U201" s="1">
        <f t="shared" si="56"/>
        <v>0.63900791431650594</v>
      </c>
    </row>
    <row r="202" spans="1:21" x14ac:dyDescent="0.25">
      <c r="A202" t="s">
        <v>11</v>
      </c>
      <c r="B202">
        <v>13.2768</v>
      </c>
      <c r="C202">
        <v>8.1005099999999999</v>
      </c>
      <c r="D202">
        <f t="shared" si="57"/>
        <v>5.1762899999999998</v>
      </c>
      <c r="E202" s="1">
        <f t="shared" si="58"/>
        <v>0.63900791431650594</v>
      </c>
      <c r="I202" t="s">
        <v>11</v>
      </c>
      <c r="J202" s="1">
        <f t="shared" si="59"/>
        <v>0.63900791431650594</v>
      </c>
      <c r="K202" s="1">
        <f t="shared" si="60"/>
        <v>0.6540563495384859</v>
      </c>
      <c r="U202" s="1">
        <f t="shared" ref="U202:U211" si="61">K193</f>
        <v>0.69045067740404553</v>
      </c>
    </row>
    <row r="203" spans="1:21" x14ac:dyDescent="0.25">
      <c r="U203" s="1">
        <f t="shared" si="61"/>
        <v>0.71566287430708808</v>
      </c>
    </row>
    <row r="204" spans="1:21" x14ac:dyDescent="0.25">
      <c r="U204" s="1">
        <f t="shared" si="61"/>
        <v>0.67807146500255033</v>
      </c>
    </row>
    <row r="205" spans="1:21" x14ac:dyDescent="0.25">
      <c r="A205" t="s">
        <v>1</v>
      </c>
      <c r="B205" t="s">
        <v>14</v>
      </c>
      <c r="C205" t="s">
        <v>13</v>
      </c>
      <c r="I205" t="s">
        <v>19</v>
      </c>
      <c r="J205" s="2">
        <f>AVERAGE(J193:J202)</f>
        <v>0.67237817556662149</v>
      </c>
      <c r="K205" s="2">
        <f>AVERAGE(K193:K202)</f>
        <v>0.67735879994695192</v>
      </c>
      <c r="U205" s="1">
        <f t="shared" si="61"/>
        <v>0.70602051902516116</v>
      </c>
    </row>
    <row r="206" spans="1:21" x14ac:dyDescent="0.25">
      <c r="A206" t="s">
        <v>2</v>
      </c>
      <c r="B206">
        <v>5.6635</v>
      </c>
      <c r="C206">
        <v>3.3502900000000002</v>
      </c>
      <c r="D206">
        <f t="shared" ref="D206:D215" si="62">B206-C206</f>
        <v>2.3132099999999998</v>
      </c>
      <c r="E206" s="1">
        <f t="shared" ref="E206:E215" si="63">D206/C206</f>
        <v>0.69045067740404553</v>
      </c>
      <c r="N206" t="s">
        <v>20</v>
      </c>
      <c r="O206" s="2">
        <f>MIN(U192:U211)</f>
        <v>0.53328411689504285</v>
      </c>
      <c r="U206" s="1">
        <f t="shared" si="61"/>
        <v>0.634383613004044</v>
      </c>
    </row>
    <row r="207" spans="1:21" x14ac:dyDescent="0.25">
      <c r="A207" t="s">
        <v>3</v>
      </c>
      <c r="B207">
        <v>5.7288899999999998</v>
      </c>
      <c r="C207">
        <v>3.3391700000000002</v>
      </c>
      <c r="D207">
        <f t="shared" si="62"/>
        <v>2.3897199999999996</v>
      </c>
      <c r="E207" s="1">
        <f t="shared" si="63"/>
        <v>0.71566287430708808</v>
      </c>
      <c r="N207" t="s">
        <v>21</v>
      </c>
      <c r="O207" s="2">
        <f>MAX(U192:U211)</f>
        <v>0.81006136426125441</v>
      </c>
      <c r="U207" s="1">
        <f t="shared" si="61"/>
        <v>0.75222148623990803</v>
      </c>
    </row>
    <row r="208" spans="1:21" x14ac:dyDescent="0.25">
      <c r="A208" t="s">
        <v>4</v>
      </c>
      <c r="B208">
        <v>5.5931800000000003</v>
      </c>
      <c r="C208">
        <v>3.3331</v>
      </c>
      <c r="D208">
        <f t="shared" si="62"/>
        <v>2.2600800000000003</v>
      </c>
      <c r="E208" s="1">
        <f t="shared" si="63"/>
        <v>0.67807146500255033</v>
      </c>
      <c r="N208" t="s">
        <v>22</v>
      </c>
      <c r="O208" s="2">
        <f>AVERAGE(U192:U211)</f>
        <v>0.67486848775678665</v>
      </c>
      <c r="U208" s="1">
        <f t="shared" si="61"/>
        <v>0.78952031618067275</v>
      </c>
    </row>
    <row r="209" spans="1:25" x14ac:dyDescent="0.25">
      <c r="A209" t="s">
        <v>5</v>
      </c>
      <c r="B209">
        <v>5.5273700000000003</v>
      </c>
      <c r="C209">
        <v>3.2399200000000001</v>
      </c>
      <c r="D209">
        <f t="shared" si="62"/>
        <v>2.2874500000000002</v>
      </c>
      <c r="E209" s="1">
        <f t="shared" si="63"/>
        <v>0.70602051902516116</v>
      </c>
      <c r="U209" s="1">
        <f t="shared" si="61"/>
        <v>0.58320231930882294</v>
      </c>
    </row>
    <row r="210" spans="1:25" x14ac:dyDescent="0.25">
      <c r="A210" t="s">
        <v>6</v>
      </c>
      <c r="B210">
        <v>5.7105199999999998</v>
      </c>
      <c r="C210">
        <v>3.4939900000000002</v>
      </c>
      <c r="D210">
        <f t="shared" si="62"/>
        <v>2.2165299999999997</v>
      </c>
      <c r="E210" s="1">
        <f t="shared" si="63"/>
        <v>0.634383613004044</v>
      </c>
      <c r="U210" s="1">
        <f t="shared" si="61"/>
        <v>0.56999837945873932</v>
      </c>
    </row>
    <row r="211" spans="1:25" x14ac:dyDescent="0.25">
      <c r="A211" t="s">
        <v>7</v>
      </c>
      <c r="B211">
        <v>5.6080899999999998</v>
      </c>
      <c r="C211">
        <v>3.2005599999999998</v>
      </c>
      <c r="D211">
        <f t="shared" si="62"/>
        <v>2.4075299999999999</v>
      </c>
      <c r="E211" s="1">
        <f t="shared" si="63"/>
        <v>0.75222148623990803</v>
      </c>
      <c r="U211" s="1">
        <f t="shared" si="61"/>
        <v>0.6540563495384859</v>
      </c>
    </row>
    <row r="212" spans="1:25" x14ac:dyDescent="0.25">
      <c r="A212" t="s">
        <v>8</v>
      </c>
      <c r="B212">
        <v>5.9178899999999999</v>
      </c>
      <c r="C212">
        <v>3.3069700000000002</v>
      </c>
      <c r="D212">
        <f t="shared" si="62"/>
        <v>2.6109199999999997</v>
      </c>
      <c r="E212" s="1">
        <f t="shared" si="63"/>
        <v>0.78952031618067275</v>
      </c>
    </row>
    <row r="213" spans="1:25" x14ac:dyDescent="0.25">
      <c r="A213" t="s">
        <v>9</v>
      </c>
      <c r="B213">
        <v>5.4882499999999999</v>
      </c>
      <c r="C213">
        <v>3.4665499999999998</v>
      </c>
      <c r="D213">
        <f t="shared" si="62"/>
        <v>2.0217000000000001</v>
      </c>
      <c r="E213" s="1">
        <f t="shared" si="63"/>
        <v>0.58320231930882294</v>
      </c>
    </row>
    <row r="214" spans="1:25" x14ac:dyDescent="0.25">
      <c r="A214" t="s">
        <v>10</v>
      </c>
      <c r="B214">
        <v>5.2315800000000001</v>
      </c>
      <c r="C214">
        <v>3.33222</v>
      </c>
      <c r="D214">
        <f t="shared" si="62"/>
        <v>1.8993600000000002</v>
      </c>
      <c r="E214" s="1">
        <f t="shared" si="63"/>
        <v>0.56999837945873932</v>
      </c>
    </row>
    <row r="215" spans="1:25" x14ac:dyDescent="0.25">
      <c r="A215" t="s">
        <v>11</v>
      </c>
      <c r="B215">
        <v>13.3987</v>
      </c>
      <c r="C215">
        <v>8.1005099999999999</v>
      </c>
      <c r="D215">
        <f t="shared" si="62"/>
        <v>5.29819</v>
      </c>
      <c r="E215" s="1">
        <f t="shared" si="63"/>
        <v>0.6540563495384859</v>
      </c>
    </row>
    <row r="217" spans="1:25" x14ac:dyDescent="0.25">
      <c r="A217" s="6" t="s">
        <v>0</v>
      </c>
      <c r="B217" s="6"/>
    </row>
    <row r="219" spans="1:25" x14ac:dyDescent="0.25">
      <c r="A219" t="s">
        <v>1</v>
      </c>
      <c r="B219" t="s">
        <v>12</v>
      </c>
      <c r="C219" t="s">
        <v>13</v>
      </c>
      <c r="E219" t="s">
        <v>15</v>
      </c>
      <c r="I219" t="s">
        <v>16</v>
      </c>
      <c r="J219" t="s">
        <v>17</v>
      </c>
      <c r="K219" t="s">
        <v>18</v>
      </c>
      <c r="U219" s="1">
        <f t="shared" ref="U219:U228" si="64">J220</f>
        <v>0.33027037904605694</v>
      </c>
      <c r="W219" s="2">
        <f>O233</f>
        <v>0.2144323048574405</v>
      </c>
      <c r="X219" s="2">
        <f>O234</f>
        <v>0.44751238621417422</v>
      </c>
      <c r="Y219" s="2">
        <f>O235</f>
        <v>0.30078569626847179</v>
      </c>
    </row>
    <row r="220" spans="1:25" x14ac:dyDescent="0.25">
      <c r="A220" t="s">
        <v>2</v>
      </c>
      <c r="B220">
        <v>1.7282571691297099</v>
      </c>
      <c r="C220">
        <v>1.2991773675131</v>
      </c>
      <c r="D220">
        <f t="shared" ref="D220:D229" si="65">B220-C220</f>
        <v>0.42907980161660997</v>
      </c>
      <c r="E220" s="1">
        <f t="shared" ref="E220:E229" si="66">D220/C220</f>
        <v>0.33027037904605694</v>
      </c>
      <c r="I220" t="s">
        <v>2</v>
      </c>
      <c r="J220" s="1">
        <f t="shared" ref="J220:J229" si="67">E220</f>
        <v>0.33027037904605694</v>
      </c>
      <c r="K220" s="1">
        <f t="shared" ref="K220:K229" si="68">E233</f>
        <v>0.33608945849425542</v>
      </c>
      <c r="U220" s="1">
        <f t="shared" si="64"/>
        <v>0.31761228122354102</v>
      </c>
    </row>
    <row r="221" spans="1:25" x14ac:dyDescent="0.25">
      <c r="A221" t="s">
        <v>3</v>
      </c>
      <c r="B221">
        <v>1.75831500558292</v>
      </c>
      <c r="C221">
        <v>1.33447071694728</v>
      </c>
      <c r="D221">
        <f t="shared" si="65"/>
        <v>0.42384428863563994</v>
      </c>
      <c r="E221" s="1">
        <f t="shared" si="66"/>
        <v>0.31761228122354102</v>
      </c>
      <c r="I221" t="s">
        <v>3</v>
      </c>
      <c r="J221" s="1">
        <f t="shared" si="67"/>
        <v>0.31761228122354102</v>
      </c>
      <c r="K221" s="1">
        <f t="shared" si="68"/>
        <v>0.31046223006739648</v>
      </c>
      <c r="U221" s="1">
        <f t="shared" si="64"/>
        <v>0.30130897066136469</v>
      </c>
    </row>
    <row r="222" spans="1:25" x14ac:dyDescent="0.25">
      <c r="A222" t="s">
        <v>4</v>
      </c>
      <c r="B222">
        <v>1.7481106023384001</v>
      </c>
      <c r="C222">
        <v>1.3433478457079699</v>
      </c>
      <c r="D222">
        <f t="shared" si="65"/>
        <v>0.40476275663043015</v>
      </c>
      <c r="E222" s="1">
        <f t="shared" si="66"/>
        <v>0.30130897066136469</v>
      </c>
      <c r="I222" t="s">
        <v>4</v>
      </c>
      <c r="J222" s="1">
        <f t="shared" si="67"/>
        <v>0.30130897066136469</v>
      </c>
      <c r="K222" s="1">
        <f t="shared" si="68"/>
        <v>0.30141443611637886</v>
      </c>
      <c r="U222" s="1">
        <f t="shared" si="64"/>
        <v>0.28408367079015667</v>
      </c>
    </row>
    <row r="223" spans="1:25" x14ac:dyDescent="0.25">
      <c r="A223" t="s">
        <v>5</v>
      </c>
      <c r="B223">
        <v>1.73511020165528</v>
      </c>
      <c r="C223">
        <v>1.3512438800717601</v>
      </c>
      <c r="D223">
        <f t="shared" si="65"/>
        <v>0.38386632158351985</v>
      </c>
      <c r="E223" s="1">
        <f t="shared" si="66"/>
        <v>0.28408367079015667</v>
      </c>
      <c r="I223" t="s">
        <v>5</v>
      </c>
      <c r="J223" s="1">
        <f t="shared" si="67"/>
        <v>0.28408367079015667</v>
      </c>
      <c r="K223" s="1">
        <f t="shared" si="68"/>
        <v>0.29877713053070754</v>
      </c>
      <c r="U223" s="1">
        <f t="shared" si="64"/>
        <v>0.28145410833888557</v>
      </c>
    </row>
    <row r="224" spans="1:25" x14ac:dyDescent="0.25">
      <c r="A224" t="s">
        <v>6</v>
      </c>
      <c r="B224">
        <v>1.7417679435139499</v>
      </c>
      <c r="C224">
        <v>1.3592121108197599</v>
      </c>
      <c r="D224">
        <f t="shared" si="65"/>
        <v>0.38255583269419002</v>
      </c>
      <c r="E224" s="1">
        <f t="shared" si="66"/>
        <v>0.28145410833888557</v>
      </c>
      <c r="I224" t="s">
        <v>6</v>
      </c>
      <c r="J224" s="1">
        <f t="shared" si="67"/>
        <v>0.28145410833888557</v>
      </c>
      <c r="K224" s="1">
        <f t="shared" si="68"/>
        <v>0.28722736956214479</v>
      </c>
      <c r="U224" s="1">
        <f t="shared" si="64"/>
        <v>0.28500540494908522</v>
      </c>
    </row>
    <row r="225" spans="1:21" x14ac:dyDescent="0.25">
      <c r="A225" t="s">
        <v>7</v>
      </c>
      <c r="B225">
        <v>1.7626995999999999</v>
      </c>
      <c r="C225">
        <v>1.37174489166436</v>
      </c>
      <c r="D225">
        <f t="shared" si="65"/>
        <v>0.39095470833563994</v>
      </c>
      <c r="E225" s="1">
        <f t="shared" si="66"/>
        <v>0.28500540494908522</v>
      </c>
      <c r="I225" t="s">
        <v>7</v>
      </c>
      <c r="J225" s="1">
        <f t="shared" si="67"/>
        <v>0.28500540494908522</v>
      </c>
      <c r="K225" s="1">
        <f t="shared" si="68"/>
        <v>0.29141607906008576</v>
      </c>
      <c r="U225" s="1">
        <f t="shared" si="64"/>
        <v>0.27594795721560766</v>
      </c>
    </row>
    <row r="226" spans="1:21" x14ac:dyDescent="0.25">
      <c r="A226" t="s">
        <v>8</v>
      </c>
      <c r="B226">
        <v>1.75028735172413</v>
      </c>
      <c r="C226">
        <v>1.3717544997239799</v>
      </c>
      <c r="D226">
        <f t="shared" si="65"/>
        <v>0.37853285200015008</v>
      </c>
      <c r="E226" s="1">
        <f t="shared" si="66"/>
        <v>0.27594795721560766</v>
      </c>
      <c r="I226" t="s">
        <v>8</v>
      </c>
      <c r="J226" s="1">
        <f t="shared" si="67"/>
        <v>0.27594795721560766</v>
      </c>
      <c r="K226" s="1">
        <f t="shared" si="68"/>
        <v>0.27838335246092472</v>
      </c>
      <c r="U226" s="1">
        <f t="shared" si="64"/>
        <v>0.27251370072145054</v>
      </c>
    </row>
    <row r="227" spans="1:21" x14ac:dyDescent="0.25">
      <c r="A227" t="s">
        <v>9</v>
      </c>
      <c r="B227">
        <v>1.8068087040199701</v>
      </c>
      <c r="C227">
        <v>1.41987367444107</v>
      </c>
      <c r="D227">
        <f t="shared" si="65"/>
        <v>0.38693502957890002</v>
      </c>
      <c r="E227" s="1">
        <f t="shared" si="66"/>
        <v>0.27251370072145054</v>
      </c>
      <c r="I227" t="s">
        <v>9</v>
      </c>
      <c r="J227" s="1">
        <f t="shared" si="67"/>
        <v>0.27251370072145054</v>
      </c>
      <c r="K227" s="1">
        <f t="shared" si="68"/>
        <v>0.2555556082112852</v>
      </c>
      <c r="U227" s="1">
        <f t="shared" si="64"/>
        <v>0.21457166691557317</v>
      </c>
    </row>
    <row r="228" spans="1:21" x14ac:dyDescent="0.25">
      <c r="A228" t="s">
        <v>10</v>
      </c>
      <c r="B228">
        <v>1.8383475065685799</v>
      </c>
      <c r="C228">
        <v>1.5135768078940099</v>
      </c>
      <c r="D228">
        <f t="shared" si="65"/>
        <v>0.32477069867456998</v>
      </c>
      <c r="E228" s="1">
        <f t="shared" si="66"/>
        <v>0.21457166691557317</v>
      </c>
      <c r="I228" t="s">
        <v>10</v>
      </c>
      <c r="J228" s="1">
        <f t="shared" si="67"/>
        <v>0.21457166691557317</v>
      </c>
      <c r="K228" s="1">
        <f t="shared" si="68"/>
        <v>0.2144323048574405</v>
      </c>
      <c r="U228" s="1">
        <f t="shared" si="64"/>
        <v>0.43167542993292135</v>
      </c>
    </row>
    <row r="229" spans="1:21" x14ac:dyDescent="0.25">
      <c r="A229" t="s">
        <v>11</v>
      </c>
      <c r="B229">
        <v>4.2430673070607403</v>
      </c>
      <c r="C229">
        <v>2.9637075683135401</v>
      </c>
      <c r="D229">
        <f t="shared" si="65"/>
        <v>1.2793597387472002</v>
      </c>
      <c r="E229" s="1">
        <f t="shared" si="66"/>
        <v>0.43167542993292135</v>
      </c>
      <c r="I229" t="s">
        <v>11</v>
      </c>
      <c r="J229" s="1">
        <f t="shared" si="67"/>
        <v>0.43167542993292135</v>
      </c>
      <c r="K229" s="1">
        <f t="shared" si="68"/>
        <v>0.44751238621417422</v>
      </c>
      <c r="U229" s="1">
        <f t="shared" ref="U229:U238" si="69">K220</f>
        <v>0.33608945849425542</v>
      </c>
    </row>
    <row r="230" spans="1:21" x14ac:dyDescent="0.25">
      <c r="U230" s="1">
        <f t="shared" si="69"/>
        <v>0.31046223006739648</v>
      </c>
    </row>
    <row r="231" spans="1:21" x14ac:dyDescent="0.25">
      <c r="U231" s="1">
        <f t="shared" si="69"/>
        <v>0.30141443611637886</v>
      </c>
    </row>
    <row r="232" spans="1:21" x14ac:dyDescent="0.25">
      <c r="A232" t="s">
        <v>1</v>
      </c>
      <c r="B232" t="s">
        <v>14</v>
      </c>
      <c r="C232" t="s">
        <v>13</v>
      </c>
      <c r="I232" t="s">
        <v>19</v>
      </c>
      <c r="J232" s="2">
        <f>AVERAGE(J220:J229)</f>
        <v>0.29944435697946431</v>
      </c>
      <c r="K232" s="2">
        <f>AVERAGE(K220:K229)</f>
        <v>0.30212703555747933</v>
      </c>
      <c r="U232" s="1">
        <f t="shared" si="69"/>
        <v>0.29877713053070754</v>
      </c>
    </row>
    <row r="233" spans="1:21" x14ac:dyDescent="0.25">
      <c r="A233" t="s">
        <v>2</v>
      </c>
      <c r="B233">
        <v>1.73581718544857</v>
      </c>
      <c r="C233">
        <v>1.2991773675131</v>
      </c>
      <c r="D233">
        <f t="shared" ref="D233:D242" si="70">B233-C233</f>
        <v>0.43663981793547002</v>
      </c>
      <c r="E233" s="1">
        <f t="shared" ref="E233:E242" si="71">D233/C233</f>
        <v>0.33608945849425542</v>
      </c>
      <c r="N233" t="s">
        <v>20</v>
      </c>
      <c r="O233" s="2">
        <f>MIN(U219:U238)</f>
        <v>0.2144323048574405</v>
      </c>
      <c r="U233" s="1">
        <f t="shared" si="69"/>
        <v>0.28722736956214479</v>
      </c>
    </row>
    <row r="234" spans="1:21" x14ac:dyDescent="0.25">
      <c r="A234" t="s">
        <v>3</v>
      </c>
      <c r="B234">
        <v>1.74877347169037</v>
      </c>
      <c r="C234">
        <v>1.33447071694728</v>
      </c>
      <c r="D234">
        <f t="shared" si="70"/>
        <v>0.41430275474308997</v>
      </c>
      <c r="E234" s="1">
        <f t="shared" si="71"/>
        <v>0.31046223006739648</v>
      </c>
      <c r="N234" t="s">
        <v>21</v>
      </c>
      <c r="O234" s="2">
        <f>MAX(U219:U238)</f>
        <v>0.44751238621417422</v>
      </c>
      <c r="U234" s="1">
        <f t="shared" si="69"/>
        <v>0.29141607906008576</v>
      </c>
    </row>
    <row r="235" spans="1:21" x14ac:dyDescent="0.25">
      <c r="A235" t="s">
        <v>4</v>
      </c>
      <c r="B235">
        <v>1.74825227913019</v>
      </c>
      <c r="C235">
        <v>1.3433478457079699</v>
      </c>
      <c r="D235">
        <f t="shared" si="70"/>
        <v>0.40490443342222004</v>
      </c>
      <c r="E235" s="1">
        <f t="shared" si="71"/>
        <v>0.30141443611637886</v>
      </c>
      <c r="N235" t="s">
        <v>22</v>
      </c>
      <c r="O235" s="2">
        <f>AVERAGE(U219:U238)</f>
        <v>0.30078569626847179</v>
      </c>
      <c r="U235" s="1">
        <f t="shared" si="69"/>
        <v>0.27838335246092472</v>
      </c>
    </row>
    <row r="236" spans="1:21" x14ac:dyDescent="0.25">
      <c r="A236" t="s">
        <v>5</v>
      </c>
      <c r="B236">
        <v>1.7549646492067801</v>
      </c>
      <c r="C236">
        <v>1.3512438800717601</v>
      </c>
      <c r="D236">
        <f t="shared" si="70"/>
        <v>0.40372076913501997</v>
      </c>
      <c r="E236" s="1">
        <f t="shared" si="71"/>
        <v>0.29877713053070754</v>
      </c>
      <c r="U236" s="1">
        <f t="shared" si="69"/>
        <v>0.2555556082112852</v>
      </c>
    </row>
    <row r="237" spans="1:21" x14ac:dyDescent="0.25">
      <c r="A237" t="s">
        <v>6</v>
      </c>
      <c r="B237">
        <v>1.7496150300875299</v>
      </c>
      <c r="C237">
        <v>1.3592121108197599</v>
      </c>
      <c r="D237">
        <f t="shared" si="70"/>
        <v>0.39040291926777004</v>
      </c>
      <c r="E237" s="1">
        <f t="shared" si="71"/>
        <v>0.28722736956214479</v>
      </c>
      <c r="U237" s="1">
        <f t="shared" si="69"/>
        <v>0.2144323048574405</v>
      </c>
    </row>
    <row r="238" spans="1:21" x14ac:dyDescent="0.25">
      <c r="A238" t="s">
        <v>7</v>
      </c>
      <c r="B238">
        <v>1.7714934094638899</v>
      </c>
      <c r="C238">
        <v>1.37174489166436</v>
      </c>
      <c r="D238">
        <f t="shared" si="70"/>
        <v>0.39974851779952991</v>
      </c>
      <c r="E238" s="1">
        <f t="shared" si="71"/>
        <v>0.29141607906008576</v>
      </c>
      <c r="U238" s="1">
        <f t="shared" si="69"/>
        <v>0.44751238621417422</v>
      </c>
    </row>
    <row r="239" spans="1:21" x14ac:dyDescent="0.25">
      <c r="A239" t="s">
        <v>8</v>
      </c>
      <c r="B239">
        <v>1.7536281161105001</v>
      </c>
      <c r="C239">
        <v>1.3717544997239799</v>
      </c>
      <c r="D239">
        <f t="shared" si="70"/>
        <v>0.38187361638652018</v>
      </c>
      <c r="E239" s="1">
        <f t="shared" si="71"/>
        <v>0.27838335246092472</v>
      </c>
    </row>
    <row r="240" spans="1:21" x14ac:dyDescent="0.25">
      <c r="A240" t="s">
        <v>9</v>
      </c>
      <c r="B240">
        <v>1.78273035489605</v>
      </c>
      <c r="C240">
        <v>1.41987367444107</v>
      </c>
      <c r="D240">
        <f t="shared" si="70"/>
        <v>0.36285668045497999</v>
      </c>
      <c r="E240" s="1">
        <f t="shared" si="71"/>
        <v>0.2555556082112852</v>
      </c>
    </row>
    <row r="241" spans="1:25" x14ac:dyDescent="0.25">
      <c r="A241" t="s">
        <v>10</v>
      </c>
      <c r="B241">
        <v>1.8381365713894899</v>
      </c>
      <c r="C241">
        <v>1.5135768078940099</v>
      </c>
      <c r="D241">
        <f t="shared" si="70"/>
        <v>0.32455976349547999</v>
      </c>
      <c r="E241" s="1">
        <f t="shared" si="71"/>
        <v>0.2144323048574405</v>
      </c>
    </row>
    <row r="242" spans="1:25" x14ac:dyDescent="0.25">
      <c r="A242" t="s">
        <v>11</v>
      </c>
      <c r="B242">
        <v>4.2900034142505401</v>
      </c>
      <c r="C242">
        <v>2.9637075683135401</v>
      </c>
      <c r="D242">
        <f t="shared" si="70"/>
        <v>1.326295845937</v>
      </c>
      <c r="E242" s="1">
        <f t="shared" si="71"/>
        <v>0.44751238621417422</v>
      </c>
    </row>
    <row r="244" spans="1:25" x14ac:dyDescent="0.25">
      <c r="A244" s="6" t="s">
        <v>34</v>
      </c>
      <c r="B244" s="6"/>
    </row>
    <row r="246" spans="1:25" x14ac:dyDescent="0.25">
      <c r="A246" t="s">
        <v>1</v>
      </c>
      <c r="B246" t="s">
        <v>12</v>
      </c>
      <c r="C246" t="s">
        <v>13</v>
      </c>
      <c r="E246" t="s">
        <v>15</v>
      </c>
      <c r="I246" t="s">
        <v>16</v>
      </c>
      <c r="J246" t="s">
        <v>17</v>
      </c>
      <c r="K246" t="s">
        <v>18</v>
      </c>
      <c r="U246" s="1">
        <f t="shared" ref="U246:U255" si="72">J247</f>
        <v>1.217646630346598</v>
      </c>
      <c r="W246" s="2">
        <f>O260</f>
        <v>0.84492066331039284</v>
      </c>
      <c r="X246" s="2">
        <f>O261</f>
        <v>1.3645947147518254</v>
      </c>
      <c r="Y246" s="2">
        <f>O262</f>
        <v>1.1385012103329379</v>
      </c>
    </row>
    <row r="247" spans="1:25" x14ac:dyDescent="0.25">
      <c r="A247" t="s">
        <v>2</v>
      </c>
      <c r="B247">
        <v>8.8290500000000005</v>
      </c>
      <c r="C247">
        <v>3.9812699999999999</v>
      </c>
      <c r="D247">
        <f t="shared" ref="D247:D256" si="73">B247-C247</f>
        <v>4.8477800000000002</v>
      </c>
      <c r="E247" s="1">
        <f t="shared" ref="E247:E256" si="74">D247/C247</f>
        <v>1.217646630346598</v>
      </c>
      <c r="I247" t="s">
        <v>2</v>
      </c>
      <c r="J247" s="1">
        <f t="shared" ref="J247:J256" si="75">E247</f>
        <v>1.217646630346598</v>
      </c>
      <c r="K247" s="1">
        <f t="shared" ref="K247:K256" si="76">E260</f>
        <v>1.3645947147518254</v>
      </c>
      <c r="U247" s="1">
        <f t="shared" si="72"/>
        <v>1.1797944654642096</v>
      </c>
    </row>
    <row r="248" spans="1:25" x14ac:dyDescent="0.25">
      <c r="A248" t="s">
        <v>3</v>
      </c>
      <c r="B248">
        <v>8.8089200000000005</v>
      </c>
      <c r="C248">
        <v>4.0411700000000002</v>
      </c>
      <c r="D248">
        <f t="shared" si="73"/>
        <v>4.7677500000000004</v>
      </c>
      <c r="E248" s="1">
        <f t="shared" si="74"/>
        <v>1.1797944654642096</v>
      </c>
      <c r="I248" t="s">
        <v>3</v>
      </c>
      <c r="J248" s="1">
        <f t="shared" si="75"/>
        <v>1.1797944654642096</v>
      </c>
      <c r="K248" s="1">
        <f t="shared" si="76"/>
        <v>1.2561461161000405</v>
      </c>
      <c r="U248" s="1">
        <f t="shared" si="72"/>
        <v>1.1861992431065114</v>
      </c>
    </row>
    <row r="249" spans="1:25" x14ac:dyDescent="0.25">
      <c r="A249" t="s">
        <v>4</v>
      </c>
      <c r="B249">
        <v>8.8846699999999998</v>
      </c>
      <c r="C249">
        <v>4.0639799999999999</v>
      </c>
      <c r="D249">
        <f t="shared" si="73"/>
        <v>4.8206899999999999</v>
      </c>
      <c r="E249" s="1">
        <f t="shared" si="74"/>
        <v>1.1861992431065114</v>
      </c>
      <c r="I249" t="s">
        <v>4</v>
      </c>
      <c r="J249" s="1">
        <f t="shared" si="75"/>
        <v>1.1861992431065114</v>
      </c>
      <c r="K249" s="1">
        <f t="shared" si="76"/>
        <v>1.2745166068730651</v>
      </c>
      <c r="U249" s="1">
        <f t="shared" si="72"/>
        <v>0.99308015090853097</v>
      </c>
    </row>
    <row r="250" spans="1:25" x14ac:dyDescent="0.25">
      <c r="A250" t="s">
        <v>5</v>
      </c>
      <c r="B250">
        <v>8.2835599999999996</v>
      </c>
      <c r="C250">
        <v>4.1561599999999999</v>
      </c>
      <c r="D250">
        <f t="shared" si="73"/>
        <v>4.1273999999999997</v>
      </c>
      <c r="E250" s="1">
        <f t="shared" si="74"/>
        <v>0.99308015090853097</v>
      </c>
      <c r="I250" t="s">
        <v>5</v>
      </c>
      <c r="J250" s="1">
        <f t="shared" si="75"/>
        <v>0.99308015090853097</v>
      </c>
      <c r="K250" s="1">
        <f t="shared" si="76"/>
        <v>1.1542120611333542</v>
      </c>
      <c r="U250" s="1">
        <f t="shared" si="72"/>
        <v>1.1093591936694684</v>
      </c>
    </row>
    <row r="251" spans="1:25" x14ac:dyDescent="0.25">
      <c r="A251" t="s">
        <v>6</v>
      </c>
      <c r="B251">
        <v>8.5700099999999999</v>
      </c>
      <c r="C251">
        <v>4.0628500000000001</v>
      </c>
      <c r="D251">
        <f t="shared" si="73"/>
        <v>4.5071599999999998</v>
      </c>
      <c r="E251" s="1">
        <f t="shared" si="74"/>
        <v>1.1093591936694684</v>
      </c>
      <c r="I251" t="s">
        <v>6</v>
      </c>
      <c r="J251" s="1">
        <f t="shared" si="75"/>
        <v>1.1093591936694684</v>
      </c>
      <c r="K251" s="1">
        <f t="shared" si="76"/>
        <v>1.1977281957246761</v>
      </c>
      <c r="U251" s="1">
        <f t="shared" si="72"/>
        <v>1.0540993202642486</v>
      </c>
    </row>
    <row r="252" spans="1:25" x14ac:dyDescent="0.25">
      <c r="A252" t="s">
        <v>7</v>
      </c>
      <c r="B252">
        <v>8.5973299999999995</v>
      </c>
      <c r="C252">
        <v>4.1854500000000003</v>
      </c>
      <c r="D252">
        <f t="shared" si="73"/>
        <v>4.4118799999999991</v>
      </c>
      <c r="E252" s="1">
        <f t="shared" si="74"/>
        <v>1.0540993202642486</v>
      </c>
      <c r="I252" t="s">
        <v>7</v>
      </c>
      <c r="J252" s="1">
        <f t="shared" si="75"/>
        <v>1.0540993202642486</v>
      </c>
      <c r="K252" s="1">
        <f t="shared" si="76"/>
        <v>1.1925432151859419</v>
      </c>
      <c r="U252" s="1">
        <f t="shared" si="72"/>
        <v>1.1021866393326387</v>
      </c>
    </row>
    <row r="253" spans="1:25" x14ac:dyDescent="0.25">
      <c r="A253" t="s">
        <v>8</v>
      </c>
      <c r="B253">
        <v>8.4495500000000003</v>
      </c>
      <c r="C253">
        <v>4.0194099999999997</v>
      </c>
      <c r="D253">
        <f t="shared" si="73"/>
        <v>4.4301400000000006</v>
      </c>
      <c r="E253" s="1">
        <f t="shared" si="74"/>
        <v>1.1021866393326387</v>
      </c>
      <c r="I253" t="s">
        <v>8</v>
      </c>
      <c r="J253" s="1">
        <f t="shared" si="75"/>
        <v>1.1021866393326387</v>
      </c>
      <c r="K253" s="1">
        <f t="shared" si="76"/>
        <v>1.2081250730828657</v>
      </c>
      <c r="U253" s="1">
        <f t="shared" si="72"/>
        <v>1.1358155842796591</v>
      </c>
    </row>
    <row r="254" spans="1:25" x14ac:dyDescent="0.25">
      <c r="A254" t="s">
        <v>9</v>
      </c>
      <c r="B254">
        <v>8.1626600000000007</v>
      </c>
      <c r="C254">
        <v>3.8218000000000001</v>
      </c>
      <c r="D254">
        <f t="shared" si="73"/>
        <v>4.3408600000000011</v>
      </c>
      <c r="E254" s="1">
        <f t="shared" si="74"/>
        <v>1.1358155842796591</v>
      </c>
      <c r="I254" t="s">
        <v>9</v>
      </c>
      <c r="J254" s="1">
        <f t="shared" si="75"/>
        <v>1.1358155842796591</v>
      </c>
      <c r="K254" s="1">
        <f t="shared" si="76"/>
        <v>1.2771181118844526</v>
      </c>
      <c r="U254" s="1">
        <f t="shared" si="72"/>
        <v>0.9804062615997029</v>
      </c>
    </row>
    <row r="255" spans="1:25" x14ac:dyDescent="0.25">
      <c r="A255" t="s">
        <v>10</v>
      </c>
      <c r="B255">
        <v>7.7361599999999999</v>
      </c>
      <c r="C255">
        <v>3.9063500000000002</v>
      </c>
      <c r="D255">
        <f t="shared" si="73"/>
        <v>3.8298099999999997</v>
      </c>
      <c r="E255" s="1">
        <f t="shared" si="74"/>
        <v>0.9804062615997029</v>
      </c>
      <c r="I255" t="s">
        <v>10</v>
      </c>
      <c r="J255" s="1">
        <f t="shared" si="75"/>
        <v>0.9804062615997029</v>
      </c>
      <c r="K255" s="1">
        <f t="shared" si="76"/>
        <v>1.0214599306257759</v>
      </c>
      <c r="U255" s="1">
        <f t="shared" si="72"/>
        <v>0.84492066331039284</v>
      </c>
    </row>
    <row r="256" spans="1:25" x14ac:dyDescent="0.25">
      <c r="A256" t="s">
        <v>11</v>
      </c>
      <c r="B256">
        <v>17.432600000000001</v>
      </c>
      <c r="C256">
        <v>9.4489699999999992</v>
      </c>
      <c r="D256">
        <f t="shared" si="73"/>
        <v>7.9836300000000016</v>
      </c>
      <c r="E256" s="1">
        <f t="shared" si="74"/>
        <v>0.84492066331039284</v>
      </c>
      <c r="I256" t="s">
        <v>11</v>
      </c>
      <c r="J256" s="1">
        <f t="shared" si="75"/>
        <v>0.84492066331039284</v>
      </c>
      <c r="K256" s="1">
        <f t="shared" si="76"/>
        <v>1.0200720290148027</v>
      </c>
      <c r="U256" s="1">
        <f t="shared" ref="U256:U265" si="77">K247</f>
        <v>1.3645947147518254</v>
      </c>
    </row>
    <row r="257" spans="1:21" x14ac:dyDescent="0.25">
      <c r="U257" s="1">
        <f t="shared" si="77"/>
        <v>1.2561461161000405</v>
      </c>
    </row>
    <row r="258" spans="1:21" x14ac:dyDescent="0.25">
      <c r="U258" s="1">
        <f t="shared" si="77"/>
        <v>1.2745166068730651</v>
      </c>
    </row>
    <row r="259" spans="1:21" x14ac:dyDescent="0.25">
      <c r="A259" t="s">
        <v>1</v>
      </c>
      <c r="B259" t="s">
        <v>14</v>
      </c>
      <c r="C259" t="s">
        <v>13</v>
      </c>
      <c r="I259" t="s">
        <v>19</v>
      </c>
      <c r="J259" s="2">
        <f>AVERAGE(J247:J256)</f>
        <v>1.080350815228196</v>
      </c>
      <c r="K259" s="2">
        <f>AVERAGE(K247:K256)</f>
        <v>1.1966516054376799</v>
      </c>
      <c r="U259" s="1">
        <f t="shared" si="77"/>
        <v>1.1542120611333542</v>
      </c>
    </row>
    <row r="260" spans="1:21" x14ac:dyDescent="0.25">
      <c r="A260" t="s">
        <v>2</v>
      </c>
      <c r="B260">
        <v>9.4140899999999998</v>
      </c>
      <c r="C260">
        <v>3.9812699999999999</v>
      </c>
      <c r="D260">
        <f t="shared" ref="D260:D269" si="78">B260-C260</f>
        <v>5.4328199999999995</v>
      </c>
      <c r="E260" s="1">
        <f t="shared" ref="E260:E269" si="79">D260/C260</f>
        <v>1.3645947147518254</v>
      </c>
      <c r="N260" t="s">
        <v>20</v>
      </c>
      <c r="O260" s="2">
        <f>MIN(U246:U265)</f>
        <v>0.84492066331039284</v>
      </c>
      <c r="U260" s="1">
        <f t="shared" si="77"/>
        <v>1.1977281957246761</v>
      </c>
    </row>
    <row r="261" spans="1:21" x14ac:dyDescent="0.25">
      <c r="A261" t="s">
        <v>3</v>
      </c>
      <c r="B261">
        <v>9.1174700000000009</v>
      </c>
      <c r="C261">
        <v>4.0411700000000002</v>
      </c>
      <c r="D261">
        <f t="shared" si="78"/>
        <v>5.0763000000000007</v>
      </c>
      <c r="E261" s="1">
        <f t="shared" si="79"/>
        <v>1.2561461161000405</v>
      </c>
      <c r="N261" t="s">
        <v>21</v>
      </c>
      <c r="O261" s="2">
        <f>MAX(U246:U265)</f>
        <v>1.3645947147518254</v>
      </c>
      <c r="U261" s="1">
        <f t="shared" si="77"/>
        <v>1.1925432151859419</v>
      </c>
    </row>
    <row r="262" spans="1:21" x14ac:dyDescent="0.25">
      <c r="A262" t="s">
        <v>4</v>
      </c>
      <c r="B262">
        <v>9.2435899999999993</v>
      </c>
      <c r="C262">
        <v>4.0639799999999999</v>
      </c>
      <c r="D262">
        <f t="shared" si="78"/>
        <v>5.1796099999999994</v>
      </c>
      <c r="E262" s="1">
        <f t="shared" si="79"/>
        <v>1.2745166068730651</v>
      </c>
      <c r="N262" t="s">
        <v>22</v>
      </c>
      <c r="O262" s="2">
        <f>AVERAGE(U246:U265)</f>
        <v>1.1385012103329379</v>
      </c>
      <c r="U262" s="1">
        <f t="shared" si="77"/>
        <v>1.2081250730828657</v>
      </c>
    </row>
    <row r="263" spans="1:21" x14ac:dyDescent="0.25">
      <c r="A263" t="s">
        <v>5</v>
      </c>
      <c r="B263">
        <v>8.9532500000000006</v>
      </c>
      <c r="C263">
        <v>4.1561599999999999</v>
      </c>
      <c r="D263">
        <f t="shared" si="78"/>
        <v>4.7970900000000007</v>
      </c>
      <c r="E263" s="1">
        <f t="shared" si="79"/>
        <v>1.1542120611333542</v>
      </c>
      <c r="U263" s="1">
        <f t="shared" si="77"/>
        <v>1.2771181118844526</v>
      </c>
    </row>
    <row r="264" spans="1:21" x14ac:dyDescent="0.25">
      <c r="A264" t="s">
        <v>6</v>
      </c>
      <c r="B264">
        <v>8.9290400000000005</v>
      </c>
      <c r="C264">
        <v>4.0628500000000001</v>
      </c>
      <c r="D264">
        <f t="shared" si="78"/>
        <v>4.8661900000000005</v>
      </c>
      <c r="E264" s="1">
        <f t="shared" si="79"/>
        <v>1.1977281957246761</v>
      </c>
      <c r="U264" s="1">
        <f t="shared" si="77"/>
        <v>1.0214599306257759</v>
      </c>
    </row>
    <row r="265" spans="1:21" x14ac:dyDescent="0.25">
      <c r="A265" t="s">
        <v>7</v>
      </c>
      <c r="B265">
        <v>9.1767800000000008</v>
      </c>
      <c r="C265">
        <v>4.1854500000000003</v>
      </c>
      <c r="D265">
        <f t="shared" si="78"/>
        <v>4.9913300000000005</v>
      </c>
      <c r="E265" s="1">
        <f t="shared" si="79"/>
        <v>1.1925432151859419</v>
      </c>
      <c r="U265" s="1">
        <f t="shared" si="77"/>
        <v>1.0200720290148027</v>
      </c>
    </row>
    <row r="266" spans="1:21" x14ac:dyDescent="0.25">
      <c r="A266" t="s">
        <v>8</v>
      </c>
      <c r="B266">
        <v>8.8753600000000006</v>
      </c>
      <c r="C266">
        <v>4.0194099999999997</v>
      </c>
      <c r="D266">
        <f t="shared" si="78"/>
        <v>4.8559500000000009</v>
      </c>
      <c r="E266" s="1">
        <f t="shared" si="79"/>
        <v>1.2081250730828657</v>
      </c>
    </row>
    <row r="267" spans="1:21" x14ac:dyDescent="0.25">
      <c r="A267" t="s">
        <v>9</v>
      </c>
      <c r="B267">
        <v>8.7026900000000005</v>
      </c>
      <c r="C267">
        <v>3.8218000000000001</v>
      </c>
      <c r="D267">
        <f t="shared" si="78"/>
        <v>4.8808900000000008</v>
      </c>
      <c r="E267" s="1">
        <f t="shared" si="79"/>
        <v>1.2771181118844526</v>
      </c>
    </row>
    <row r="268" spans="1:21" x14ac:dyDescent="0.25">
      <c r="A268" t="s">
        <v>10</v>
      </c>
      <c r="B268">
        <v>7.8965300000000003</v>
      </c>
      <c r="C268">
        <v>3.9063500000000002</v>
      </c>
      <c r="D268">
        <f t="shared" si="78"/>
        <v>3.9901800000000001</v>
      </c>
      <c r="E268" s="1">
        <f t="shared" si="79"/>
        <v>1.0214599306257759</v>
      </c>
    </row>
    <row r="269" spans="1:21" x14ac:dyDescent="0.25">
      <c r="A269" t="s">
        <v>11</v>
      </c>
      <c r="B269">
        <v>19.087599999999998</v>
      </c>
      <c r="C269">
        <v>9.4489699999999992</v>
      </c>
      <c r="D269">
        <f t="shared" si="78"/>
        <v>9.6386299999999991</v>
      </c>
      <c r="E269" s="1">
        <f t="shared" si="79"/>
        <v>1.0200720290148027</v>
      </c>
    </row>
    <row r="271" spans="1:21" x14ac:dyDescent="0.25">
      <c r="A271" s="6" t="s">
        <v>35</v>
      </c>
      <c r="B271" s="6"/>
    </row>
    <row r="273" spans="1:25" x14ac:dyDescent="0.25">
      <c r="A273" t="s">
        <v>1</v>
      </c>
      <c r="B273" t="s">
        <v>12</v>
      </c>
      <c r="C273" t="s">
        <v>13</v>
      </c>
      <c r="E273" t="s">
        <v>15</v>
      </c>
      <c r="I273" t="s">
        <v>16</v>
      </c>
      <c r="J273" t="s">
        <v>17</v>
      </c>
      <c r="K273" t="s">
        <v>18</v>
      </c>
      <c r="U273" s="1">
        <f t="shared" ref="U273:U282" si="80">J274</f>
        <v>0.64339124775155343</v>
      </c>
      <c r="W273" s="2">
        <f>O287</f>
        <v>0.44903759161276885</v>
      </c>
      <c r="X273" s="2">
        <f>O288</f>
        <v>0.70625019658725841</v>
      </c>
      <c r="Y273" s="2">
        <f>O289</f>
        <v>0.61221877789345225</v>
      </c>
    </row>
    <row r="274" spans="1:25" x14ac:dyDescent="0.25">
      <c r="A274" t="s">
        <v>2</v>
      </c>
      <c r="B274">
        <v>2.4216314586815901</v>
      </c>
      <c r="C274">
        <v>1.4735574757348899</v>
      </c>
      <c r="D274">
        <f t="shared" ref="D274:D283" si="81">B274-C274</f>
        <v>0.9480739829467002</v>
      </c>
      <c r="E274" s="1">
        <f t="shared" ref="E274:E283" si="82">D274/C274</f>
        <v>0.64339124775155343</v>
      </c>
      <c r="I274" t="s">
        <v>2</v>
      </c>
      <c r="J274" s="1">
        <f t="shared" ref="J274:J283" si="83">E274</f>
        <v>0.64339124775155343</v>
      </c>
      <c r="K274" s="1">
        <f t="shared" ref="K274:K283" si="84">E287</f>
        <v>0.70625019658725841</v>
      </c>
      <c r="U274" s="1">
        <f t="shared" si="80"/>
        <v>0.64343071249530392</v>
      </c>
    </row>
    <row r="275" spans="1:25" x14ac:dyDescent="0.25">
      <c r="A275" t="s">
        <v>3</v>
      </c>
      <c r="B275">
        <v>2.4703903263318501</v>
      </c>
      <c r="C275">
        <v>1.50319104270659</v>
      </c>
      <c r="D275">
        <f t="shared" si="81"/>
        <v>0.96719928362526009</v>
      </c>
      <c r="E275" s="1">
        <f t="shared" si="82"/>
        <v>0.64343071249530392</v>
      </c>
      <c r="I275" t="s">
        <v>3</v>
      </c>
      <c r="J275" s="1">
        <f t="shared" si="83"/>
        <v>0.64343071249530392</v>
      </c>
      <c r="K275" s="1">
        <f t="shared" si="84"/>
        <v>0.6851273887963244</v>
      </c>
      <c r="U275" s="1">
        <f t="shared" si="80"/>
        <v>0.61113409714633282</v>
      </c>
    </row>
    <row r="276" spans="1:25" x14ac:dyDescent="0.25">
      <c r="A276" t="s">
        <v>4</v>
      </c>
      <c r="B276">
        <v>2.4378462821631</v>
      </c>
      <c r="C276">
        <v>1.5131243801996701</v>
      </c>
      <c r="D276">
        <f t="shared" si="81"/>
        <v>0.92472190196342985</v>
      </c>
      <c r="E276" s="1">
        <f t="shared" si="82"/>
        <v>0.61113409714633282</v>
      </c>
      <c r="I276" t="s">
        <v>4</v>
      </c>
      <c r="J276" s="1">
        <f t="shared" si="83"/>
        <v>0.61113409714633282</v>
      </c>
      <c r="K276" s="1">
        <f t="shared" si="84"/>
        <v>0.65664755672760156</v>
      </c>
      <c r="U276" s="1">
        <f t="shared" si="80"/>
        <v>0.63959165014685004</v>
      </c>
    </row>
    <row r="277" spans="1:25" x14ac:dyDescent="0.25">
      <c r="A277" t="s">
        <v>5</v>
      </c>
      <c r="B277">
        <v>2.4774426746129801</v>
      </c>
      <c r="C277">
        <v>1.5110120098447</v>
      </c>
      <c r="D277">
        <f t="shared" si="81"/>
        <v>0.9664306647682801</v>
      </c>
      <c r="E277" s="1">
        <f t="shared" si="82"/>
        <v>0.63959165014685004</v>
      </c>
      <c r="I277" t="s">
        <v>5</v>
      </c>
      <c r="J277" s="1">
        <f t="shared" si="83"/>
        <v>0.63959165014685004</v>
      </c>
      <c r="K277" s="1">
        <f t="shared" si="84"/>
        <v>0.66362319079047616</v>
      </c>
      <c r="U277" s="1">
        <f t="shared" si="80"/>
        <v>0.59179620823046264</v>
      </c>
    </row>
    <row r="278" spans="1:25" x14ac:dyDescent="0.25">
      <c r="A278" t="s">
        <v>6</v>
      </c>
      <c r="B278">
        <v>2.4357691401991302</v>
      </c>
      <c r="C278">
        <v>1.5302016222961601</v>
      </c>
      <c r="D278">
        <f t="shared" si="81"/>
        <v>0.90556751790297008</v>
      </c>
      <c r="E278" s="1">
        <f t="shared" si="82"/>
        <v>0.59179620823046264</v>
      </c>
      <c r="I278" t="s">
        <v>6</v>
      </c>
      <c r="J278" s="1">
        <f t="shared" si="83"/>
        <v>0.59179620823046264</v>
      </c>
      <c r="K278" s="1">
        <f t="shared" si="84"/>
        <v>0.66162390707773899</v>
      </c>
      <c r="U278" s="1">
        <f t="shared" si="80"/>
        <v>0.56870554856616296</v>
      </c>
    </row>
    <row r="279" spans="1:25" x14ac:dyDescent="0.25">
      <c r="A279" t="s">
        <v>7</v>
      </c>
      <c r="B279">
        <v>2.4279178412559901</v>
      </c>
      <c r="C279">
        <v>1.54772056711036</v>
      </c>
      <c r="D279">
        <f t="shared" si="81"/>
        <v>0.88019727414563009</v>
      </c>
      <c r="E279" s="1">
        <f t="shared" si="82"/>
        <v>0.56870554856616296</v>
      </c>
      <c r="I279" t="s">
        <v>7</v>
      </c>
      <c r="J279" s="1">
        <f t="shared" si="83"/>
        <v>0.56870554856616296</v>
      </c>
      <c r="K279" s="1">
        <f t="shared" si="84"/>
        <v>0.64712717203126968</v>
      </c>
      <c r="U279" s="1">
        <f t="shared" si="80"/>
        <v>0.57729475672645592</v>
      </c>
    </row>
    <row r="280" spans="1:25" x14ac:dyDescent="0.25">
      <c r="A280" t="s">
        <v>8</v>
      </c>
      <c r="B280">
        <v>2.4319963405770801</v>
      </c>
      <c r="C280">
        <v>1.5418781620909501</v>
      </c>
      <c r="D280">
        <f t="shared" si="81"/>
        <v>0.89011817848613006</v>
      </c>
      <c r="E280" s="1">
        <f t="shared" si="82"/>
        <v>0.57729475672645592</v>
      </c>
      <c r="I280" t="s">
        <v>8</v>
      </c>
      <c r="J280" s="1">
        <f t="shared" si="83"/>
        <v>0.57729475672645592</v>
      </c>
      <c r="K280" s="1">
        <f t="shared" si="84"/>
        <v>0.6366296560401562</v>
      </c>
      <c r="U280" s="1">
        <f t="shared" si="80"/>
        <v>0.55048367736517967</v>
      </c>
    </row>
    <row r="281" spans="1:25" x14ac:dyDescent="0.25">
      <c r="A281" t="s">
        <v>9</v>
      </c>
      <c r="B281">
        <v>2.4754829936768501</v>
      </c>
      <c r="C281">
        <v>1.5965875873544</v>
      </c>
      <c r="D281">
        <f t="shared" si="81"/>
        <v>0.87889540632245011</v>
      </c>
      <c r="E281" s="1">
        <f t="shared" si="82"/>
        <v>0.55048367736517967</v>
      </c>
      <c r="I281" t="s">
        <v>9</v>
      </c>
      <c r="J281" s="1">
        <f t="shared" si="83"/>
        <v>0.55048367736517967</v>
      </c>
      <c r="K281" s="1">
        <f t="shared" si="84"/>
        <v>0.5742529085238246</v>
      </c>
      <c r="U281" s="1">
        <f t="shared" si="80"/>
        <v>0.44903759161276885</v>
      </c>
    </row>
    <row r="282" spans="1:25" x14ac:dyDescent="0.25">
      <c r="A282" t="s">
        <v>10</v>
      </c>
      <c r="B282">
        <v>2.4675490957988</v>
      </c>
      <c r="C282">
        <v>1.70288825499167</v>
      </c>
      <c r="D282">
        <f t="shared" si="81"/>
        <v>0.76466084080713004</v>
      </c>
      <c r="E282" s="1">
        <f t="shared" si="82"/>
        <v>0.44903759161276885</v>
      </c>
      <c r="I282" t="s">
        <v>10</v>
      </c>
      <c r="J282" s="1">
        <f t="shared" si="83"/>
        <v>0.44903759161276885</v>
      </c>
      <c r="K282" s="1">
        <f t="shared" si="84"/>
        <v>0.48694561509457129</v>
      </c>
      <c r="U282" s="1">
        <f t="shared" si="80"/>
        <v>0.62239373427147715</v>
      </c>
    </row>
    <row r="283" spans="1:25" x14ac:dyDescent="0.25">
      <c r="A283" t="s">
        <v>11</v>
      </c>
      <c r="B283">
        <v>5.6558996242459401</v>
      </c>
      <c r="C283">
        <v>3.4861448887348399</v>
      </c>
      <c r="D283">
        <f t="shared" si="81"/>
        <v>2.1697547355111002</v>
      </c>
      <c r="E283" s="1">
        <f t="shared" si="82"/>
        <v>0.62239373427147715</v>
      </c>
      <c r="I283" t="s">
        <v>11</v>
      </c>
      <c r="J283" s="1">
        <f t="shared" si="83"/>
        <v>0.62239373427147715</v>
      </c>
      <c r="K283" s="1">
        <f t="shared" si="84"/>
        <v>0.62888874188727284</v>
      </c>
      <c r="U283" s="1">
        <f t="shared" ref="U283:U292" si="85">K274</f>
        <v>0.70625019658725841</v>
      </c>
    </row>
    <row r="284" spans="1:25" x14ac:dyDescent="0.25">
      <c r="U284" s="1">
        <f t="shared" si="85"/>
        <v>0.6851273887963244</v>
      </c>
    </row>
    <row r="285" spans="1:25" x14ac:dyDescent="0.25">
      <c r="U285" s="1">
        <f t="shared" si="85"/>
        <v>0.65664755672760156</v>
      </c>
    </row>
    <row r="286" spans="1:25" x14ac:dyDescent="0.25">
      <c r="A286" t="s">
        <v>1</v>
      </c>
      <c r="B286" t="s">
        <v>14</v>
      </c>
      <c r="C286" t="s">
        <v>13</v>
      </c>
      <c r="I286" t="s">
        <v>19</v>
      </c>
      <c r="J286" s="2">
        <f>AVERAGE(J274:J283)</f>
        <v>0.58972592243125477</v>
      </c>
      <c r="K286" s="2">
        <f>AVERAGE(K274:K283)</f>
        <v>0.6347116333556494</v>
      </c>
      <c r="U286" s="1">
        <f t="shared" si="85"/>
        <v>0.66362319079047616</v>
      </c>
    </row>
    <row r="287" spans="1:25" x14ac:dyDescent="0.25">
      <c r="A287" t="s">
        <v>2</v>
      </c>
      <c r="B287">
        <v>2.5142577326552802</v>
      </c>
      <c r="C287">
        <v>1.4735574757348899</v>
      </c>
      <c r="D287">
        <f t="shared" ref="D287:D296" si="86">B287-C287</f>
        <v>1.0407002569203903</v>
      </c>
      <c r="E287" s="1">
        <f t="shared" ref="E287:E296" si="87">D287/C287</f>
        <v>0.70625019658725841</v>
      </c>
      <c r="N287" t="s">
        <v>20</v>
      </c>
      <c r="O287" s="2">
        <f>MIN(U273:U292)</f>
        <v>0.44903759161276885</v>
      </c>
      <c r="U287" s="1">
        <f t="shared" si="85"/>
        <v>0.66162390707773899</v>
      </c>
    </row>
    <row r="288" spans="1:25" x14ac:dyDescent="0.25">
      <c r="A288" t="s">
        <v>3</v>
      </c>
      <c r="B288">
        <v>2.5330683966581802</v>
      </c>
      <c r="C288">
        <v>1.50319104270659</v>
      </c>
      <c r="D288">
        <f t="shared" si="86"/>
        <v>1.0298773539515902</v>
      </c>
      <c r="E288" s="1">
        <f t="shared" si="87"/>
        <v>0.6851273887963244</v>
      </c>
      <c r="N288" t="s">
        <v>21</v>
      </c>
      <c r="O288" s="2">
        <f>MAX(U273:U292)</f>
        <v>0.70625019658725841</v>
      </c>
      <c r="U288" s="1">
        <f t="shared" si="85"/>
        <v>0.64712717203126968</v>
      </c>
    </row>
    <row r="289" spans="1:25" x14ac:dyDescent="0.25">
      <c r="A289" t="s">
        <v>4</v>
      </c>
      <c r="B289">
        <v>2.50671380748275</v>
      </c>
      <c r="C289">
        <v>1.5131243801996701</v>
      </c>
      <c r="D289">
        <f t="shared" si="86"/>
        <v>0.99358942728307986</v>
      </c>
      <c r="E289" s="1">
        <f t="shared" si="87"/>
        <v>0.65664755672760156</v>
      </c>
      <c r="N289" t="s">
        <v>22</v>
      </c>
      <c r="O289" s="2">
        <f>AVERAGE(U273:U292)</f>
        <v>0.61221877789345225</v>
      </c>
      <c r="U289" s="1">
        <f t="shared" si="85"/>
        <v>0.6366296560401562</v>
      </c>
    </row>
    <row r="290" spans="1:25" x14ac:dyDescent="0.25">
      <c r="A290" t="s">
        <v>5</v>
      </c>
      <c r="B290">
        <v>2.5137546211405701</v>
      </c>
      <c r="C290">
        <v>1.5110120098447</v>
      </c>
      <c r="D290">
        <f t="shared" si="86"/>
        <v>1.0027426112958702</v>
      </c>
      <c r="E290" s="1">
        <f t="shared" si="87"/>
        <v>0.66362319079047616</v>
      </c>
      <c r="U290" s="1">
        <f t="shared" si="85"/>
        <v>0.5742529085238246</v>
      </c>
    </row>
    <row r="291" spans="1:25" x14ac:dyDescent="0.25">
      <c r="A291" t="s">
        <v>6</v>
      </c>
      <c r="B291">
        <v>2.5426195982564401</v>
      </c>
      <c r="C291">
        <v>1.5302016222961601</v>
      </c>
      <c r="D291">
        <f t="shared" si="86"/>
        <v>1.01241797596028</v>
      </c>
      <c r="E291" s="1">
        <f t="shared" si="87"/>
        <v>0.66162390707773899</v>
      </c>
      <c r="U291" s="1">
        <f t="shared" si="85"/>
        <v>0.48694561509457129</v>
      </c>
    </row>
    <row r="292" spans="1:25" x14ac:dyDescent="0.25">
      <c r="A292" t="s">
        <v>7</v>
      </c>
      <c r="B292">
        <v>2.5492926007991201</v>
      </c>
      <c r="C292">
        <v>1.54772056711036</v>
      </c>
      <c r="D292">
        <f t="shared" si="86"/>
        <v>1.0015720336887601</v>
      </c>
      <c r="E292" s="1">
        <f t="shared" si="87"/>
        <v>0.64712717203126968</v>
      </c>
      <c r="U292" s="1">
        <f t="shared" si="85"/>
        <v>0.62888874188727284</v>
      </c>
    </row>
    <row r="293" spans="1:25" x14ac:dyDescent="0.25">
      <c r="A293" t="s">
        <v>8</v>
      </c>
      <c r="B293">
        <v>2.5234835260787398</v>
      </c>
      <c r="C293">
        <v>1.5418781620909501</v>
      </c>
      <c r="D293">
        <f t="shared" si="86"/>
        <v>0.98160536398778975</v>
      </c>
      <c r="E293" s="1">
        <f t="shared" si="87"/>
        <v>0.6366296560401562</v>
      </c>
    </row>
    <row r="294" spans="1:25" x14ac:dyDescent="0.25">
      <c r="A294" t="s">
        <v>9</v>
      </c>
      <c r="B294">
        <v>2.5134326531057001</v>
      </c>
      <c r="C294">
        <v>1.5965875873544</v>
      </c>
      <c r="D294">
        <f t="shared" si="86"/>
        <v>0.91684506575130009</v>
      </c>
      <c r="E294" s="1">
        <f t="shared" si="87"/>
        <v>0.5742529085238246</v>
      </c>
    </row>
    <row r="295" spans="1:25" x14ac:dyDescent="0.25">
      <c r="A295" t="s">
        <v>10</v>
      </c>
      <c r="B295">
        <v>2.5321022237559099</v>
      </c>
      <c r="C295">
        <v>1.70288825499167</v>
      </c>
      <c r="D295">
        <f t="shared" si="86"/>
        <v>0.82921396876423992</v>
      </c>
      <c r="E295" s="1">
        <f t="shared" si="87"/>
        <v>0.48694561509457129</v>
      </c>
    </row>
    <row r="296" spans="1:25" x14ac:dyDescent="0.25">
      <c r="A296" t="s">
        <v>11</v>
      </c>
      <c r="B296">
        <v>5.6785421618480401</v>
      </c>
      <c r="C296">
        <v>3.4861448887348399</v>
      </c>
      <c r="D296">
        <f t="shared" si="86"/>
        <v>2.1923972731132002</v>
      </c>
      <c r="E296" s="1">
        <f t="shared" si="87"/>
        <v>0.62888874188727284</v>
      </c>
    </row>
    <row r="298" spans="1:25" x14ac:dyDescent="0.25">
      <c r="A298" s="6" t="s">
        <v>36</v>
      </c>
      <c r="B298" s="6"/>
    </row>
    <row r="300" spans="1:25" x14ac:dyDescent="0.25">
      <c r="A300" t="s">
        <v>1</v>
      </c>
      <c r="B300" t="s">
        <v>12</v>
      </c>
      <c r="C300" t="s">
        <v>13</v>
      </c>
      <c r="E300" t="s">
        <v>15</v>
      </c>
      <c r="I300" t="s">
        <v>16</v>
      </c>
      <c r="J300" t="s">
        <v>17</v>
      </c>
      <c r="K300" t="s">
        <v>18</v>
      </c>
      <c r="U300" s="1">
        <f t="shared" ref="U300:U309" si="88">J301</f>
        <v>1.8668873127188401</v>
      </c>
      <c r="W300" s="2">
        <f>O314</f>
        <v>1.4205454464563776</v>
      </c>
      <c r="X300" s="2">
        <f>O315</f>
        <v>2.3270071501088063</v>
      </c>
      <c r="Y300" s="2">
        <f>O316</f>
        <v>1.983127220040203</v>
      </c>
    </row>
    <row r="301" spans="1:25" x14ac:dyDescent="0.25">
      <c r="A301" t="s">
        <v>2</v>
      </c>
      <c r="B301">
        <v>14.3531</v>
      </c>
      <c r="C301">
        <v>5.0065099999999996</v>
      </c>
      <c r="D301">
        <f t="shared" ref="D301:D310" si="89">B301-C301</f>
        <v>9.3465899999999991</v>
      </c>
      <c r="E301" s="1">
        <f t="shared" ref="E301:E310" si="90">D301/C301</f>
        <v>1.8668873127188401</v>
      </c>
      <c r="I301" t="s">
        <v>2</v>
      </c>
      <c r="J301" s="1">
        <f t="shared" ref="J301:J310" si="91">E301</f>
        <v>1.8668873127188401</v>
      </c>
      <c r="K301" s="1">
        <f t="shared" ref="K301:K310" si="92">E314</f>
        <v>2.0423588487788904</v>
      </c>
      <c r="U301" s="1">
        <f t="shared" si="88"/>
        <v>2.001365531703907</v>
      </c>
    </row>
    <row r="302" spans="1:25" x14ac:dyDescent="0.25">
      <c r="A302" t="s">
        <v>3</v>
      </c>
      <c r="B302">
        <v>14.770200000000001</v>
      </c>
      <c r="C302">
        <v>4.9211600000000004</v>
      </c>
      <c r="D302">
        <f t="shared" si="89"/>
        <v>9.8490400000000005</v>
      </c>
      <c r="E302" s="1">
        <f t="shared" si="90"/>
        <v>2.001365531703907</v>
      </c>
      <c r="I302" t="s">
        <v>3</v>
      </c>
      <c r="J302" s="1">
        <f t="shared" si="91"/>
        <v>2.001365531703907</v>
      </c>
      <c r="K302" s="1">
        <f t="shared" si="92"/>
        <v>2.2174934365068397</v>
      </c>
      <c r="U302" s="1">
        <f t="shared" si="88"/>
        <v>2.0135431610012788</v>
      </c>
    </row>
    <row r="303" spans="1:25" x14ac:dyDescent="0.25">
      <c r="A303" t="s">
        <v>4</v>
      </c>
      <c r="B303">
        <v>14.6837</v>
      </c>
      <c r="C303">
        <v>4.8725699999999996</v>
      </c>
      <c r="D303">
        <f t="shared" si="89"/>
        <v>9.8111300000000004</v>
      </c>
      <c r="E303" s="1">
        <f t="shared" si="90"/>
        <v>2.0135431610012788</v>
      </c>
      <c r="I303" t="s">
        <v>4</v>
      </c>
      <c r="J303" s="1">
        <f t="shared" si="91"/>
        <v>2.0135431610012788</v>
      </c>
      <c r="K303" s="1">
        <f t="shared" si="92"/>
        <v>2.1739308003784452</v>
      </c>
      <c r="U303" s="1">
        <f t="shared" si="88"/>
        <v>2.1512467297048858</v>
      </c>
    </row>
    <row r="304" spans="1:25" x14ac:dyDescent="0.25">
      <c r="A304" t="s">
        <v>5</v>
      </c>
      <c r="B304">
        <v>14.706899999999999</v>
      </c>
      <c r="C304">
        <v>4.6670100000000003</v>
      </c>
      <c r="D304">
        <f t="shared" si="89"/>
        <v>10.03989</v>
      </c>
      <c r="E304" s="1">
        <f t="shared" si="90"/>
        <v>2.1512467297048858</v>
      </c>
      <c r="I304" t="s">
        <v>5</v>
      </c>
      <c r="J304" s="1">
        <f t="shared" si="91"/>
        <v>2.1512467297048858</v>
      </c>
      <c r="K304" s="1">
        <f t="shared" si="92"/>
        <v>2.2504751436144339</v>
      </c>
      <c r="U304" s="1">
        <f t="shared" si="88"/>
        <v>1.9230445726725667</v>
      </c>
    </row>
    <row r="305" spans="1:21" x14ac:dyDescent="0.25">
      <c r="A305" t="s">
        <v>6</v>
      </c>
      <c r="B305">
        <v>14.178900000000001</v>
      </c>
      <c r="C305">
        <v>4.8507300000000004</v>
      </c>
      <c r="D305">
        <f t="shared" si="89"/>
        <v>9.3281700000000001</v>
      </c>
      <c r="E305" s="1">
        <f t="shared" si="90"/>
        <v>1.9230445726725667</v>
      </c>
      <c r="I305" t="s">
        <v>6</v>
      </c>
      <c r="J305" s="1">
        <f t="shared" si="91"/>
        <v>1.9230445726725667</v>
      </c>
      <c r="K305" s="1">
        <f t="shared" si="92"/>
        <v>2.0527363922543613</v>
      </c>
      <c r="U305" s="1">
        <f t="shared" si="88"/>
        <v>1.8757030197719495</v>
      </c>
    </row>
    <row r="306" spans="1:21" x14ac:dyDescent="0.25">
      <c r="A306" t="s">
        <v>7</v>
      </c>
      <c r="B306">
        <v>13.984400000000001</v>
      </c>
      <c r="C306">
        <v>4.8629499999999997</v>
      </c>
      <c r="D306">
        <f t="shared" si="89"/>
        <v>9.1214500000000012</v>
      </c>
      <c r="E306" s="1">
        <f t="shared" si="90"/>
        <v>1.8757030197719495</v>
      </c>
      <c r="I306" t="s">
        <v>7</v>
      </c>
      <c r="J306" s="1">
        <f t="shared" si="91"/>
        <v>1.8757030197719495</v>
      </c>
      <c r="K306" s="1">
        <f t="shared" si="92"/>
        <v>2.1711409741000831</v>
      </c>
      <c r="U306" s="1">
        <f t="shared" si="88"/>
        <v>2.1189387664594901</v>
      </c>
    </row>
    <row r="307" spans="1:21" x14ac:dyDescent="0.25">
      <c r="A307" t="s">
        <v>8</v>
      </c>
      <c r="B307">
        <v>14.3469</v>
      </c>
      <c r="C307">
        <v>4.5999299999999996</v>
      </c>
      <c r="D307">
        <f t="shared" si="89"/>
        <v>9.746970000000001</v>
      </c>
      <c r="E307" s="1">
        <f t="shared" si="90"/>
        <v>2.1189387664594901</v>
      </c>
      <c r="I307" t="s">
        <v>8</v>
      </c>
      <c r="J307" s="1">
        <f t="shared" si="91"/>
        <v>2.1189387664594901</v>
      </c>
      <c r="K307" s="1">
        <f t="shared" si="92"/>
        <v>2.3270071501088063</v>
      </c>
      <c r="U307" s="1">
        <f t="shared" si="88"/>
        <v>1.9392559011355466</v>
      </c>
    </row>
    <row r="308" spans="1:21" x14ac:dyDescent="0.25">
      <c r="A308" t="s">
        <v>9</v>
      </c>
      <c r="B308">
        <v>13.4856</v>
      </c>
      <c r="C308">
        <v>4.5880999999999998</v>
      </c>
      <c r="D308">
        <f t="shared" si="89"/>
        <v>8.8975000000000009</v>
      </c>
      <c r="E308" s="1">
        <f t="shared" si="90"/>
        <v>1.9392559011355466</v>
      </c>
      <c r="I308" t="s">
        <v>9</v>
      </c>
      <c r="J308" s="1">
        <f t="shared" si="91"/>
        <v>1.9392559011355466</v>
      </c>
      <c r="K308" s="1">
        <f t="shared" si="92"/>
        <v>2.1329744338615115</v>
      </c>
      <c r="U308" s="1">
        <f t="shared" si="88"/>
        <v>1.7024969450542322</v>
      </c>
    </row>
    <row r="309" spans="1:21" x14ac:dyDescent="0.25">
      <c r="A309" t="s">
        <v>10</v>
      </c>
      <c r="B309">
        <v>12.4954</v>
      </c>
      <c r="C309">
        <v>4.6236499999999996</v>
      </c>
      <c r="D309">
        <f t="shared" si="89"/>
        <v>7.8717500000000005</v>
      </c>
      <c r="E309" s="1">
        <f t="shared" si="90"/>
        <v>1.7024969450542322</v>
      </c>
      <c r="I309" t="s">
        <v>10</v>
      </c>
      <c r="J309" s="1">
        <f t="shared" si="91"/>
        <v>1.7024969450542322</v>
      </c>
      <c r="K309" s="1">
        <f t="shared" si="92"/>
        <v>1.7899819406745756</v>
      </c>
      <c r="U309" s="1">
        <f t="shared" si="88"/>
        <v>1.4914178938470435</v>
      </c>
    </row>
    <row r="310" spans="1:21" x14ac:dyDescent="0.25">
      <c r="A310" t="s">
        <v>11</v>
      </c>
      <c r="B310">
        <v>27.9998</v>
      </c>
      <c r="C310">
        <v>11.2385</v>
      </c>
      <c r="D310">
        <f t="shared" si="89"/>
        <v>16.761299999999999</v>
      </c>
      <c r="E310" s="1">
        <f t="shared" si="90"/>
        <v>1.4914178938470435</v>
      </c>
      <c r="I310" t="s">
        <v>11</v>
      </c>
      <c r="J310" s="1">
        <f t="shared" si="91"/>
        <v>1.4914178938470435</v>
      </c>
      <c r="K310" s="1">
        <f t="shared" si="92"/>
        <v>1.4205454464563776</v>
      </c>
      <c r="U310" s="1">
        <f t="shared" ref="U310:U319" si="93">K301</f>
        <v>2.0423588487788904</v>
      </c>
    </row>
    <row r="311" spans="1:21" x14ac:dyDescent="0.25">
      <c r="U311" s="1">
        <f t="shared" si="93"/>
        <v>2.2174934365068397</v>
      </c>
    </row>
    <row r="312" spans="1:21" x14ac:dyDescent="0.25">
      <c r="U312" s="1">
        <f t="shared" si="93"/>
        <v>2.1739308003784452</v>
      </c>
    </row>
    <row r="313" spans="1:21" x14ac:dyDescent="0.25">
      <c r="A313" t="s">
        <v>1</v>
      </c>
      <c r="B313" t="s">
        <v>14</v>
      </c>
      <c r="C313" t="s">
        <v>13</v>
      </c>
      <c r="I313" t="s">
        <v>19</v>
      </c>
      <c r="J313" s="2">
        <f>AVERAGE(J301:J310)</f>
        <v>1.9083899834069737</v>
      </c>
      <c r="K313" s="2">
        <f>AVERAGE(K301:K310)</f>
        <v>2.0578644566734328</v>
      </c>
      <c r="U313" s="1">
        <f t="shared" si="93"/>
        <v>2.2504751436144339</v>
      </c>
    </row>
    <row r="314" spans="1:21" x14ac:dyDescent="0.25">
      <c r="A314" t="s">
        <v>2</v>
      </c>
      <c r="B314">
        <v>15.2316</v>
      </c>
      <c r="C314">
        <v>5.0065099999999996</v>
      </c>
      <c r="D314">
        <f t="shared" ref="D314:D323" si="94">B314-C314</f>
        <v>10.225090000000002</v>
      </c>
      <c r="E314" s="1">
        <f t="shared" ref="E314:E323" si="95">D314/C314</f>
        <v>2.0423588487788904</v>
      </c>
      <c r="N314" t="s">
        <v>20</v>
      </c>
      <c r="O314" s="2">
        <f>MIN(U300:U319)</f>
        <v>1.4205454464563776</v>
      </c>
      <c r="U314" s="1">
        <f t="shared" si="93"/>
        <v>2.0527363922543613</v>
      </c>
    </row>
    <row r="315" spans="1:21" x14ac:dyDescent="0.25">
      <c r="A315" t="s">
        <v>3</v>
      </c>
      <c r="B315">
        <v>15.8338</v>
      </c>
      <c r="C315">
        <v>4.9211600000000004</v>
      </c>
      <c r="D315">
        <f t="shared" si="94"/>
        <v>10.91264</v>
      </c>
      <c r="E315" s="1">
        <f t="shared" si="95"/>
        <v>2.2174934365068397</v>
      </c>
      <c r="N315" t="s">
        <v>21</v>
      </c>
      <c r="O315" s="2">
        <f>MAX(U300:U319)</f>
        <v>2.3270071501088063</v>
      </c>
      <c r="U315" s="1">
        <f t="shared" si="93"/>
        <v>2.1711409741000831</v>
      </c>
    </row>
    <row r="316" spans="1:21" x14ac:dyDescent="0.25">
      <c r="A316" t="s">
        <v>4</v>
      </c>
      <c r="B316">
        <v>15.465199999999999</v>
      </c>
      <c r="C316">
        <v>4.8725699999999996</v>
      </c>
      <c r="D316">
        <f t="shared" si="94"/>
        <v>10.59263</v>
      </c>
      <c r="E316" s="1">
        <f t="shared" si="95"/>
        <v>2.1739308003784452</v>
      </c>
      <c r="N316" t="s">
        <v>22</v>
      </c>
      <c r="O316" s="2">
        <f>AVERAGE(U300:U319)</f>
        <v>1.983127220040203</v>
      </c>
      <c r="U316" s="1">
        <f t="shared" si="93"/>
        <v>2.3270071501088063</v>
      </c>
    </row>
    <row r="317" spans="1:21" x14ac:dyDescent="0.25">
      <c r="A317" t="s">
        <v>5</v>
      </c>
      <c r="B317">
        <v>15.17</v>
      </c>
      <c r="C317">
        <v>4.6670100000000003</v>
      </c>
      <c r="D317">
        <f t="shared" si="94"/>
        <v>10.50299</v>
      </c>
      <c r="E317" s="1">
        <f t="shared" si="95"/>
        <v>2.2504751436144339</v>
      </c>
      <c r="U317" s="1">
        <f t="shared" si="93"/>
        <v>2.1329744338615115</v>
      </c>
    </row>
    <row r="318" spans="1:21" x14ac:dyDescent="0.25">
      <c r="A318" t="s">
        <v>6</v>
      </c>
      <c r="B318">
        <v>14.808</v>
      </c>
      <c r="C318">
        <v>4.8507300000000004</v>
      </c>
      <c r="D318">
        <f t="shared" si="94"/>
        <v>9.9572699999999994</v>
      </c>
      <c r="E318" s="1">
        <f t="shared" si="95"/>
        <v>2.0527363922543613</v>
      </c>
      <c r="U318" s="1">
        <f t="shared" si="93"/>
        <v>1.7899819406745756</v>
      </c>
    </row>
    <row r="319" spans="1:21" x14ac:dyDescent="0.25">
      <c r="A319" t="s">
        <v>7</v>
      </c>
      <c r="B319">
        <v>15.421099999999999</v>
      </c>
      <c r="C319">
        <v>4.8629499999999997</v>
      </c>
      <c r="D319">
        <f t="shared" si="94"/>
        <v>10.558149999999999</v>
      </c>
      <c r="E319" s="1">
        <f t="shared" si="95"/>
        <v>2.1711409741000831</v>
      </c>
      <c r="U319" s="1">
        <f t="shared" si="93"/>
        <v>1.4205454464563776</v>
      </c>
    </row>
    <row r="320" spans="1:21" x14ac:dyDescent="0.25">
      <c r="A320" t="s">
        <v>8</v>
      </c>
      <c r="B320">
        <v>15.304</v>
      </c>
      <c r="C320">
        <v>4.5999299999999996</v>
      </c>
      <c r="D320">
        <f t="shared" si="94"/>
        <v>10.704070000000002</v>
      </c>
      <c r="E320" s="1">
        <f t="shared" si="95"/>
        <v>2.3270071501088063</v>
      </c>
    </row>
    <row r="321" spans="1:25" x14ac:dyDescent="0.25">
      <c r="A321" t="s">
        <v>9</v>
      </c>
      <c r="B321">
        <v>14.3744</v>
      </c>
      <c r="C321">
        <v>4.5880999999999998</v>
      </c>
      <c r="D321">
        <f t="shared" si="94"/>
        <v>9.7863000000000007</v>
      </c>
      <c r="E321" s="1">
        <f t="shared" si="95"/>
        <v>2.1329744338615115</v>
      </c>
    </row>
    <row r="322" spans="1:25" x14ac:dyDescent="0.25">
      <c r="A322" t="s">
        <v>10</v>
      </c>
      <c r="B322">
        <v>12.899900000000001</v>
      </c>
      <c r="C322">
        <v>4.6236499999999996</v>
      </c>
      <c r="D322">
        <f t="shared" si="94"/>
        <v>8.276250000000001</v>
      </c>
      <c r="E322" s="1">
        <f t="shared" si="95"/>
        <v>1.7899819406745756</v>
      </c>
    </row>
    <row r="323" spans="1:25" x14ac:dyDescent="0.25">
      <c r="A323" t="s">
        <v>11</v>
      </c>
      <c r="B323">
        <v>27.203299999999999</v>
      </c>
      <c r="C323">
        <v>11.2385</v>
      </c>
      <c r="D323">
        <f t="shared" si="94"/>
        <v>15.964799999999999</v>
      </c>
      <c r="E323" s="1">
        <f t="shared" si="95"/>
        <v>1.4205454464563776</v>
      </c>
    </row>
    <row r="325" spans="1:25" x14ac:dyDescent="0.25">
      <c r="A325" s="6" t="s">
        <v>37</v>
      </c>
      <c r="B325" s="6"/>
    </row>
    <row r="327" spans="1:25" x14ac:dyDescent="0.25">
      <c r="A327" t="s">
        <v>1</v>
      </c>
      <c r="B327" t="s">
        <v>12</v>
      </c>
      <c r="C327" t="s">
        <v>13</v>
      </c>
      <c r="E327" t="s">
        <v>15</v>
      </c>
      <c r="I327" t="s">
        <v>16</v>
      </c>
      <c r="J327" t="s">
        <v>17</v>
      </c>
      <c r="K327" t="s">
        <v>18</v>
      </c>
      <c r="U327" s="1">
        <f t="shared" ref="U327:U336" si="96">J328</f>
        <v>1.570175918868596</v>
      </c>
      <c r="W327" s="2">
        <f>O341</f>
        <v>0.95058015819278108</v>
      </c>
      <c r="X327" s="2">
        <f>O342</f>
        <v>1.570175918868596</v>
      </c>
      <c r="Y327" s="2">
        <f>O343</f>
        <v>1.3461932513336465</v>
      </c>
    </row>
    <row r="328" spans="1:25" x14ac:dyDescent="0.25">
      <c r="A328" t="s">
        <v>2</v>
      </c>
      <c r="B328">
        <v>4.5508203713073803</v>
      </c>
      <c r="C328">
        <v>1.7706260252063499</v>
      </c>
      <c r="D328">
        <f t="shared" ref="D328:D337" si="97">B328-C328</f>
        <v>2.7801943461010303</v>
      </c>
      <c r="E328" s="1">
        <f t="shared" ref="E328:E337" si="98">D328/C328</f>
        <v>1.570175918868596</v>
      </c>
      <c r="I328" t="s">
        <v>2</v>
      </c>
      <c r="J328" s="1">
        <f t="shared" ref="J328:J337" si="99">E328</f>
        <v>1.570175918868596</v>
      </c>
      <c r="K328" s="1">
        <f t="shared" ref="K328:K337" si="100">E341</f>
        <v>1.5144880235913427</v>
      </c>
      <c r="U328" s="1">
        <f t="shared" si="96"/>
        <v>1.5253223624701864</v>
      </c>
    </row>
    <row r="329" spans="1:25" x14ac:dyDescent="0.25">
      <c r="A329" t="s">
        <v>3</v>
      </c>
      <c r="B329">
        <v>4.5521303371037298</v>
      </c>
      <c r="C329">
        <v>1.8025937617924499</v>
      </c>
      <c r="D329">
        <f t="shared" si="97"/>
        <v>2.7495365753112799</v>
      </c>
      <c r="E329" s="1">
        <f t="shared" si="98"/>
        <v>1.5253223624701864</v>
      </c>
      <c r="I329" t="s">
        <v>3</v>
      </c>
      <c r="J329" s="1">
        <f t="shared" si="99"/>
        <v>1.5253223624701864</v>
      </c>
      <c r="K329" s="1">
        <f t="shared" si="100"/>
        <v>1.4793656697983861</v>
      </c>
      <c r="U329" s="1">
        <f t="shared" si="96"/>
        <v>1.448393372154771</v>
      </c>
    </row>
    <row r="330" spans="1:25" x14ac:dyDescent="0.25">
      <c r="A330" t="s">
        <v>4</v>
      </c>
      <c r="B330">
        <v>4.4415941290274503</v>
      </c>
      <c r="C330">
        <v>1.81408517909788</v>
      </c>
      <c r="D330">
        <f t="shared" si="97"/>
        <v>2.6275089499295703</v>
      </c>
      <c r="E330" s="1">
        <f t="shared" si="98"/>
        <v>1.448393372154771</v>
      </c>
      <c r="I330" t="s">
        <v>4</v>
      </c>
      <c r="J330" s="1">
        <f t="shared" si="99"/>
        <v>1.448393372154771</v>
      </c>
      <c r="K330" s="1">
        <f t="shared" si="100"/>
        <v>1.4253650890178267</v>
      </c>
      <c r="U330" s="1">
        <f t="shared" si="96"/>
        <v>1.4335352033947144</v>
      </c>
    </row>
    <row r="331" spans="1:25" x14ac:dyDescent="0.25">
      <c r="A331" t="s">
        <v>5</v>
      </c>
      <c r="B331">
        <v>4.4595981531363798</v>
      </c>
      <c r="C331">
        <v>1.83255954009433</v>
      </c>
      <c r="D331">
        <f t="shared" si="97"/>
        <v>2.6270386130420498</v>
      </c>
      <c r="E331" s="1">
        <f t="shared" si="98"/>
        <v>1.4335352033947144</v>
      </c>
      <c r="I331" t="s">
        <v>5</v>
      </c>
      <c r="J331" s="1">
        <f t="shared" si="99"/>
        <v>1.4335352033947144</v>
      </c>
      <c r="K331" s="1">
        <f t="shared" si="100"/>
        <v>1.3935504335292193</v>
      </c>
      <c r="U331" s="1">
        <f t="shared" si="96"/>
        <v>1.3984894712928113</v>
      </c>
    </row>
    <row r="332" spans="1:25" x14ac:dyDescent="0.25">
      <c r="A332" t="s">
        <v>6</v>
      </c>
      <c r="B332">
        <v>4.4117815670808698</v>
      </c>
      <c r="C332">
        <v>1.83940001400251</v>
      </c>
      <c r="D332">
        <f t="shared" si="97"/>
        <v>2.57238155307836</v>
      </c>
      <c r="E332" s="1">
        <f t="shared" si="98"/>
        <v>1.3984894712928113</v>
      </c>
      <c r="I332" t="s">
        <v>6</v>
      </c>
      <c r="J332" s="1">
        <f t="shared" si="99"/>
        <v>1.3984894712928113</v>
      </c>
      <c r="K332" s="1">
        <f t="shared" si="100"/>
        <v>1.3703104278717542</v>
      </c>
      <c r="U332" s="1">
        <f t="shared" si="96"/>
        <v>1.4055681947343566</v>
      </c>
    </row>
    <row r="333" spans="1:25" x14ac:dyDescent="0.25">
      <c r="A333" t="s">
        <v>7</v>
      </c>
      <c r="B333">
        <v>4.4908895014509804</v>
      </c>
      <c r="C333">
        <v>1.8668726628832499</v>
      </c>
      <c r="D333">
        <f t="shared" si="97"/>
        <v>2.6240168385677305</v>
      </c>
      <c r="E333" s="1">
        <f t="shared" si="98"/>
        <v>1.4055681947343566</v>
      </c>
      <c r="I333" t="s">
        <v>7</v>
      </c>
      <c r="J333" s="1">
        <f t="shared" si="99"/>
        <v>1.4055681947343566</v>
      </c>
      <c r="K333" s="1">
        <f t="shared" si="100"/>
        <v>1.4058641245747003</v>
      </c>
      <c r="U333" s="1">
        <f t="shared" si="96"/>
        <v>1.350516714437173</v>
      </c>
    </row>
    <row r="334" spans="1:25" x14ac:dyDescent="0.25">
      <c r="A334" t="s">
        <v>8</v>
      </c>
      <c r="B334">
        <v>4.3710709034082402</v>
      </c>
      <c r="C334">
        <v>1.85962128095519</v>
      </c>
      <c r="D334">
        <f t="shared" si="97"/>
        <v>2.5114496224530503</v>
      </c>
      <c r="E334" s="1">
        <f t="shared" si="98"/>
        <v>1.350516714437173</v>
      </c>
      <c r="I334" t="s">
        <v>8</v>
      </c>
      <c r="J334" s="1">
        <f t="shared" si="99"/>
        <v>1.350516714437173</v>
      </c>
      <c r="K334" s="1">
        <f t="shared" si="100"/>
        <v>1.3674556419579795</v>
      </c>
      <c r="U334" s="1">
        <f t="shared" si="96"/>
        <v>1.3133984591298422</v>
      </c>
    </row>
    <row r="335" spans="1:25" x14ac:dyDescent="0.25">
      <c r="A335" t="s">
        <v>9</v>
      </c>
      <c r="B335">
        <v>4.4164351462162204</v>
      </c>
      <c r="C335">
        <v>1.9090680763561201</v>
      </c>
      <c r="D335">
        <f t="shared" si="97"/>
        <v>2.5073670698601003</v>
      </c>
      <c r="E335" s="1">
        <f t="shared" si="98"/>
        <v>1.3133984591298422</v>
      </c>
      <c r="I335" t="s">
        <v>9</v>
      </c>
      <c r="J335" s="1">
        <f t="shared" si="99"/>
        <v>1.3133984591298422</v>
      </c>
      <c r="K335" s="1">
        <f t="shared" si="100"/>
        <v>1.2895089905627597</v>
      </c>
      <c r="U335" s="1">
        <f t="shared" si="96"/>
        <v>1.1553621138241346</v>
      </c>
    </row>
    <row r="336" spans="1:25" x14ac:dyDescent="0.25">
      <c r="A336" t="s">
        <v>10</v>
      </c>
      <c r="B336">
        <v>4.3471266686509402</v>
      </c>
      <c r="C336">
        <v>2.01688924602005</v>
      </c>
      <c r="D336">
        <f t="shared" si="97"/>
        <v>2.3302374226308902</v>
      </c>
      <c r="E336" s="1">
        <f t="shared" si="98"/>
        <v>1.1553621138241346</v>
      </c>
      <c r="I336" t="s">
        <v>10</v>
      </c>
      <c r="J336" s="1">
        <f t="shared" si="99"/>
        <v>1.1553621138241346</v>
      </c>
      <c r="K336" s="1">
        <f t="shared" si="100"/>
        <v>1.1308211696280654</v>
      </c>
      <c r="U336" s="1">
        <f t="shared" si="96"/>
        <v>0.99579348764152886</v>
      </c>
    </row>
    <row r="337" spans="1:21" x14ac:dyDescent="0.25">
      <c r="A337" t="s">
        <v>11</v>
      </c>
      <c r="B337">
        <v>8.8272295475853806</v>
      </c>
      <c r="C337">
        <v>4.4229173019382397</v>
      </c>
      <c r="D337">
        <f t="shared" si="97"/>
        <v>4.4043122456471409</v>
      </c>
      <c r="E337" s="1">
        <f t="shared" si="98"/>
        <v>0.99579348764152886</v>
      </c>
      <c r="I337" t="s">
        <v>11</v>
      </c>
      <c r="J337" s="1">
        <f t="shared" si="99"/>
        <v>0.99579348764152886</v>
      </c>
      <c r="K337" s="1">
        <f t="shared" si="100"/>
        <v>0.95058015819278108</v>
      </c>
      <c r="U337" s="1">
        <f t="shared" ref="U337:U346" si="101">K328</f>
        <v>1.5144880235913427</v>
      </c>
    </row>
    <row r="338" spans="1:21" x14ac:dyDescent="0.25">
      <c r="U338" s="1">
        <f t="shared" si="101"/>
        <v>1.4793656697983861</v>
      </c>
    </row>
    <row r="339" spans="1:21" x14ac:dyDescent="0.25">
      <c r="U339" s="1">
        <f t="shared" si="101"/>
        <v>1.4253650890178267</v>
      </c>
    </row>
    <row r="340" spans="1:21" x14ac:dyDescent="0.25">
      <c r="A340" t="s">
        <v>1</v>
      </c>
      <c r="B340" t="s">
        <v>14</v>
      </c>
      <c r="C340" t="s">
        <v>13</v>
      </c>
      <c r="I340" t="s">
        <v>19</v>
      </c>
      <c r="J340" s="2">
        <f>AVERAGE(J328:J337)</f>
        <v>1.3596555297948114</v>
      </c>
      <c r="K340" s="2">
        <f>AVERAGE(K328:K337)</f>
        <v>1.3327309728724817</v>
      </c>
      <c r="U340" s="1">
        <f t="shared" si="101"/>
        <v>1.3935504335292193</v>
      </c>
    </row>
    <row r="341" spans="1:21" x14ac:dyDescent="0.25">
      <c r="A341" t="s">
        <v>2</v>
      </c>
      <c r="B341">
        <v>4.45221793464051</v>
      </c>
      <c r="C341">
        <v>1.7706260252063499</v>
      </c>
      <c r="D341">
        <f t="shared" ref="D341:D350" si="102">B341-C341</f>
        <v>2.68159190943416</v>
      </c>
      <c r="E341" s="1">
        <f t="shared" ref="E341:E350" si="103">D341/C341</f>
        <v>1.5144880235913427</v>
      </c>
      <c r="N341" t="s">
        <v>20</v>
      </c>
      <c r="O341" s="2">
        <f>MIN(U327:U346)</f>
        <v>0.95058015819278108</v>
      </c>
      <c r="U341" s="1">
        <f t="shared" si="101"/>
        <v>1.3703104278717542</v>
      </c>
    </row>
    <row r="342" spans="1:21" x14ac:dyDescent="0.25">
      <c r="A342" t="s">
        <v>3</v>
      </c>
      <c r="B342">
        <v>4.4692890895809301</v>
      </c>
      <c r="C342">
        <v>1.8025937617924499</v>
      </c>
      <c r="D342">
        <f t="shared" si="102"/>
        <v>2.6666953277884802</v>
      </c>
      <c r="E342" s="1">
        <f t="shared" si="103"/>
        <v>1.4793656697983861</v>
      </c>
      <c r="N342" t="s">
        <v>21</v>
      </c>
      <c r="O342" s="2">
        <f>MAX(U327:U346)</f>
        <v>1.570175918868596</v>
      </c>
      <c r="U342" s="1">
        <f t="shared" si="101"/>
        <v>1.4058641245747003</v>
      </c>
    </row>
    <row r="343" spans="1:21" x14ac:dyDescent="0.25">
      <c r="A343" t="s">
        <v>4</v>
      </c>
      <c r="B343">
        <v>4.39981886188865</v>
      </c>
      <c r="C343">
        <v>1.81408517909788</v>
      </c>
      <c r="D343">
        <f t="shared" si="102"/>
        <v>2.58573368279077</v>
      </c>
      <c r="E343" s="1">
        <f t="shared" si="103"/>
        <v>1.4253650890178267</v>
      </c>
      <c r="N343" t="s">
        <v>22</v>
      </c>
      <c r="O343" s="2">
        <f>AVERAGE(U327:U346)</f>
        <v>1.3461932513336465</v>
      </c>
      <c r="U343" s="1">
        <f t="shared" si="101"/>
        <v>1.3674556419579795</v>
      </c>
    </row>
    <row r="344" spans="1:21" x14ac:dyDescent="0.25">
      <c r="A344" t="s">
        <v>5</v>
      </c>
      <c r="B344">
        <v>4.3863236816608904</v>
      </c>
      <c r="C344">
        <v>1.83255954009433</v>
      </c>
      <c r="D344">
        <f t="shared" si="102"/>
        <v>2.5537641415665604</v>
      </c>
      <c r="E344" s="1">
        <f t="shared" si="103"/>
        <v>1.3935504335292193</v>
      </c>
      <c r="U344" s="1">
        <f t="shared" si="101"/>
        <v>1.2895089905627597</v>
      </c>
    </row>
    <row r="345" spans="1:21" x14ac:dyDescent="0.25">
      <c r="A345" t="s">
        <v>6</v>
      </c>
      <c r="B345">
        <v>4.3599490342175997</v>
      </c>
      <c r="C345">
        <v>1.83940001400251</v>
      </c>
      <c r="D345">
        <f t="shared" si="102"/>
        <v>2.52054902021509</v>
      </c>
      <c r="E345" s="1">
        <f t="shared" si="103"/>
        <v>1.3703104278717542</v>
      </c>
      <c r="U345" s="1">
        <f t="shared" si="101"/>
        <v>1.1308211696280654</v>
      </c>
    </row>
    <row r="346" spans="1:21" x14ac:dyDescent="0.25">
      <c r="A346" t="s">
        <v>7</v>
      </c>
      <c r="B346">
        <v>4.4914419647800496</v>
      </c>
      <c r="C346">
        <v>1.8668726628832499</v>
      </c>
      <c r="D346">
        <f t="shared" si="102"/>
        <v>2.6245693018967997</v>
      </c>
      <c r="E346" s="1">
        <f t="shared" si="103"/>
        <v>1.4058641245747003</v>
      </c>
      <c r="U346" s="1">
        <f t="shared" si="101"/>
        <v>0.95058015819278108</v>
      </c>
    </row>
    <row r="347" spans="1:21" x14ac:dyDescent="0.25">
      <c r="A347" t="s">
        <v>8</v>
      </c>
      <c r="B347">
        <v>4.4025708935024896</v>
      </c>
      <c r="C347">
        <v>1.85962128095519</v>
      </c>
      <c r="D347">
        <f t="shared" si="102"/>
        <v>2.5429496125472997</v>
      </c>
      <c r="E347" s="1">
        <f t="shared" si="103"/>
        <v>1.3674556419579795</v>
      </c>
    </row>
    <row r="348" spans="1:21" x14ac:dyDescent="0.25">
      <c r="A348" t="s">
        <v>9</v>
      </c>
      <c r="B348">
        <v>4.3708285244136897</v>
      </c>
      <c r="C348">
        <v>1.9090680763561201</v>
      </c>
      <c r="D348">
        <f t="shared" si="102"/>
        <v>2.4617604480575697</v>
      </c>
      <c r="E348" s="1">
        <f t="shared" si="103"/>
        <v>1.2895089905627597</v>
      </c>
    </row>
    <row r="349" spans="1:21" x14ac:dyDescent="0.25">
      <c r="A349" t="s">
        <v>10</v>
      </c>
      <c r="B349">
        <v>4.29763030221471</v>
      </c>
      <c r="C349">
        <v>2.01688924602005</v>
      </c>
      <c r="D349">
        <f t="shared" si="102"/>
        <v>2.2807410561946599</v>
      </c>
      <c r="E349" s="1">
        <f t="shared" si="103"/>
        <v>1.1308211696280654</v>
      </c>
    </row>
    <row r="350" spans="1:21" x14ac:dyDescent="0.25">
      <c r="A350" t="s">
        <v>11</v>
      </c>
      <c r="B350">
        <v>8.6272547304882803</v>
      </c>
      <c r="C350">
        <v>4.4229173019382397</v>
      </c>
      <c r="D350">
        <f t="shared" si="102"/>
        <v>4.2043374285500406</v>
      </c>
      <c r="E350" s="1">
        <f t="shared" si="103"/>
        <v>0.95058015819278108</v>
      </c>
    </row>
    <row r="352" spans="1:21" x14ac:dyDescent="0.25">
      <c r="A352" s="6" t="s">
        <v>38</v>
      </c>
      <c r="B352" s="6"/>
    </row>
    <row r="354" spans="1:25" x14ac:dyDescent="0.25">
      <c r="A354" t="s">
        <v>1</v>
      </c>
      <c r="B354" t="s">
        <v>12</v>
      </c>
      <c r="C354" t="s">
        <v>13</v>
      </c>
      <c r="E354" t="s">
        <v>15</v>
      </c>
      <c r="I354" t="s">
        <v>16</v>
      </c>
      <c r="J354" t="s">
        <v>17</v>
      </c>
      <c r="K354" t="s">
        <v>18</v>
      </c>
      <c r="U354" s="1">
        <f t="shared" ref="U354:U363" si="104">J355</f>
        <v>3.2863200459675461</v>
      </c>
      <c r="W354" s="2">
        <f>O368</f>
        <v>2.2860862658424557</v>
      </c>
      <c r="X354" s="2">
        <f>O369</f>
        <v>3.439896991018363</v>
      </c>
      <c r="Y354" s="2">
        <f>O370</f>
        <v>3.0513396520890219</v>
      </c>
    </row>
    <row r="355" spans="1:25" x14ac:dyDescent="0.25">
      <c r="A355" t="s">
        <v>2</v>
      </c>
      <c r="B355">
        <v>27.8994</v>
      </c>
      <c r="C355">
        <v>6.5089399999999999</v>
      </c>
      <c r="D355">
        <f t="shared" ref="D355:D364" si="105">B355-C355</f>
        <v>21.390460000000001</v>
      </c>
      <c r="E355" s="1">
        <f t="shared" ref="E355:E364" si="106">D355/C355</f>
        <v>3.2863200459675461</v>
      </c>
      <c r="I355" t="s">
        <v>2</v>
      </c>
      <c r="J355" s="1">
        <f t="shared" ref="J355:J364" si="107">E355</f>
        <v>3.2863200459675461</v>
      </c>
      <c r="K355" s="1">
        <f t="shared" ref="K355:K364" si="108">E368</f>
        <v>3.2175838154906948</v>
      </c>
      <c r="U355" s="1">
        <f t="shared" si="104"/>
        <v>3.1791797086478453</v>
      </c>
    </row>
    <row r="356" spans="1:25" x14ac:dyDescent="0.25">
      <c r="A356" t="s">
        <v>3</v>
      </c>
      <c r="B356">
        <v>26.863600000000002</v>
      </c>
      <c r="C356">
        <v>6.4279599999999997</v>
      </c>
      <c r="D356">
        <f t="shared" si="105"/>
        <v>20.435640000000003</v>
      </c>
      <c r="E356" s="1">
        <f t="shared" si="106"/>
        <v>3.1791797086478453</v>
      </c>
      <c r="I356" t="s">
        <v>3</v>
      </c>
      <c r="J356" s="1">
        <f t="shared" si="107"/>
        <v>3.1791797086478453</v>
      </c>
      <c r="K356" s="1">
        <f t="shared" si="108"/>
        <v>3.4288390095769112</v>
      </c>
      <c r="U356" s="1">
        <f t="shared" si="104"/>
        <v>3.3486255545794159</v>
      </c>
    </row>
    <row r="357" spans="1:25" x14ac:dyDescent="0.25">
      <c r="A357" t="s">
        <v>4</v>
      </c>
      <c r="B357">
        <v>27.67</v>
      </c>
      <c r="C357">
        <v>6.3629300000000004</v>
      </c>
      <c r="D357">
        <f t="shared" si="105"/>
        <v>21.307070000000003</v>
      </c>
      <c r="E357" s="1">
        <f t="shared" si="106"/>
        <v>3.3486255545794159</v>
      </c>
      <c r="I357" t="s">
        <v>4</v>
      </c>
      <c r="J357" s="1">
        <f t="shared" si="107"/>
        <v>3.3486255545794159</v>
      </c>
      <c r="K357" s="1">
        <f t="shared" si="108"/>
        <v>3.129025464683723</v>
      </c>
      <c r="U357" s="1">
        <f t="shared" si="104"/>
        <v>3.0242691041686594</v>
      </c>
    </row>
    <row r="358" spans="1:25" x14ac:dyDescent="0.25">
      <c r="A358" t="s">
        <v>5</v>
      </c>
      <c r="B358">
        <v>26.0899</v>
      </c>
      <c r="C358">
        <v>6.4831399999999997</v>
      </c>
      <c r="D358">
        <f t="shared" si="105"/>
        <v>19.606760000000001</v>
      </c>
      <c r="E358" s="1">
        <f t="shared" si="106"/>
        <v>3.0242691041686594</v>
      </c>
      <c r="I358" t="s">
        <v>5</v>
      </c>
      <c r="J358" s="1">
        <f t="shared" si="107"/>
        <v>3.0242691041686594</v>
      </c>
      <c r="K358" s="1">
        <f t="shared" si="108"/>
        <v>3.2380389749411553</v>
      </c>
      <c r="U358" s="1">
        <f t="shared" si="104"/>
        <v>3.1928663930973151</v>
      </c>
    </row>
    <row r="359" spans="1:25" x14ac:dyDescent="0.25">
      <c r="A359" t="s">
        <v>6</v>
      </c>
      <c r="B359">
        <v>26.872499999999999</v>
      </c>
      <c r="C359">
        <v>6.4090999999999996</v>
      </c>
      <c r="D359">
        <f t="shared" si="105"/>
        <v>20.4634</v>
      </c>
      <c r="E359" s="1">
        <f t="shared" si="106"/>
        <v>3.1928663930973151</v>
      </c>
      <c r="I359" t="s">
        <v>6</v>
      </c>
      <c r="J359" s="1">
        <f t="shared" si="107"/>
        <v>3.1928663930973151</v>
      </c>
      <c r="K359" s="1">
        <f t="shared" si="108"/>
        <v>3.1317969761745026</v>
      </c>
      <c r="U359" s="1">
        <f t="shared" si="104"/>
        <v>2.9925081428355749</v>
      </c>
    </row>
    <row r="360" spans="1:25" x14ac:dyDescent="0.25">
      <c r="A360" t="s">
        <v>7</v>
      </c>
      <c r="B360">
        <v>26.709599999999998</v>
      </c>
      <c r="C360">
        <v>6.6899300000000004</v>
      </c>
      <c r="D360">
        <f t="shared" si="105"/>
        <v>20.019669999999998</v>
      </c>
      <c r="E360" s="1">
        <f t="shared" si="106"/>
        <v>2.9925081428355749</v>
      </c>
      <c r="I360" t="s">
        <v>7</v>
      </c>
      <c r="J360" s="1">
        <f t="shared" si="107"/>
        <v>2.9925081428355749</v>
      </c>
      <c r="K360" s="1">
        <f t="shared" si="108"/>
        <v>3.0894897256025096</v>
      </c>
      <c r="U360" s="1">
        <f t="shared" si="104"/>
        <v>2.8428394981864247</v>
      </c>
    </row>
    <row r="361" spans="1:25" x14ac:dyDescent="0.25">
      <c r="A361" t="s">
        <v>8</v>
      </c>
      <c r="B361">
        <v>25.543700000000001</v>
      </c>
      <c r="C361">
        <v>6.6470900000000004</v>
      </c>
      <c r="D361">
        <f t="shared" si="105"/>
        <v>18.896610000000003</v>
      </c>
      <c r="E361" s="1">
        <f t="shared" si="106"/>
        <v>2.8428394981864247</v>
      </c>
      <c r="I361" t="s">
        <v>8</v>
      </c>
      <c r="J361" s="1">
        <f t="shared" si="107"/>
        <v>2.8428394981864247</v>
      </c>
      <c r="K361" s="1">
        <f t="shared" si="108"/>
        <v>2.8427943656547447</v>
      </c>
      <c r="U361" s="1">
        <f t="shared" si="104"/>
        <v>3.262846139495216</v>
      </c>
    </row>
    <row r="362" spans="1:25" x14ac:dyDescent="0.25">
      <c r="A362" t="s">
        <v>9</v>
      </c>
      <c r="B362">
        <v>25.5914</v>
      </c>
      <c r="C362">
        <v>6.0033599999999998</v>
      </c>
      <c r="D362">
        <f t="shared" si="105"/>
        <v>19.588039999999999</v>
      </c>
      <c r="E362" s="1">
        <f t="shared" si="106"/>
        <v>3.262846139495216</v>
      </c>
      <c r="I362" t="s">
        <v>9</v>
      </c>
      <c r="J362" s="1">
        <f t="shared" si="107"/>
        <v>3.262846139495216</v>
      </c>
      <c r="K362" s="1">
        <f t="shared" si="108"/>
        <v>3.439896991018363</v>
      </c>
      <c r="U362" s="1">
        <f t="shared" si="104"/>
        <v>2.8565982566300248</v>
      </c>
    </row>
    <row r="363" spans="1:25" x14ac:dyDescent="0.25">
      <c r="A363" t="s">
        <v>10</v>
      </c>
      <c r="B363">
        <v>23.793900000000001</v>
      </c>
      <c r="C363">
        <v>6.1696600000000004</v>
      </c>
      <c r="D363">
        <f t="shared" si="105"/>
        <v>17.62424</v>
      </c>
      <c r="E363" s="1">
        <f t="shared" si="106"/>
        <v>2.8565982566300248</v>
      </c>
      <c r="I363" t="s">
        <v>10</v>
      </c>
      <c r="J363" s="1">
        <f t="shared" si="107"/>
        <v>2.8565982566300248</v>
      </c>
      <c r="K363" s="1">
        <f t="shared" si="108"/>
        <v>2.7324747230803639</v>
      </c>
      <c r="U363" s="1">
        <f t="shared" si="104"/>
        <v>2.5047138861069862</v>
      </c>
    </row>
    <row r="364" spans="1:25" x14ac:dyDescent="0.25">
      <c r="A364" t="s">
        <v>11</v>
      </c>
      <c r="B364">
        <v>50.743000000000002</v>
      </c>
      <c r="C364">
        <v>14.4785</v>
      </c>
      <c r="D364">
        <f t="shared" si="105"/>
        <v>36.264499999999998</v>
      </c>
      <c r="E364" s="1">
        <f t="shared" si="106"/>
        <v>2.5047138861069862</v>
      </c>
      <c r="I364" t="s">
        <v>11</v>
      </c>
      <c r="J364" s="1">
        <f t="shared" si="107"/>
        <v>2.5047138861069862</v>
      </c>
      <c r="K364" s="1">
        <f t="shared" si="108"/>
        <v>2.2860862658424557</v>
      </c>
      <c r="U364" s="1">
        <f t="shared" ref="U364:U373" si="109">K355</f>
        <v>3.2175838154906948</v>
      </c>
    </row>
    <row r="365" spans="1:25" x14ac:dyDescent="0.25">
      <c r="U365" s="1">
        <f t="shared" si="109"/>
        <v>3.4288390095769112</v>
      </c>
    </row>
    <row r="366" spans="1:25" x14ac:dyDescent="0.25">
      <c r="U366" s="1">
        <f t="shared" si="109"/>
        <v>3.129025464683723</v>
      </c>
    </row>
    <row r="367" spans="1:25" x14ac:dyDescent="0.25">
      <c r="A367" t="s">
        <v>1</v>
      </c>
      <c r="B367" t="s">
        <v>14</v>
      </c>
      <c r="C367" t="s">
        <v>13</v>
      </c>
      <c r="I367" t="s">
        <v>19</v>
      </c>
      <c r="J367" s="2">
        <f>AVERAGE(J355:J364)</f>
        <v>3.0490766729715011</v>
      </c>
      <c r="K367" s="2">
        <f>AVERAGE(K355:K364)</f>
        <v>3.0536026312065419</v>
      </c>
      <c r="U367" s="1">
        <f t="shared" si="109"/>
        <v>3.2380389749411553</v>
      </c>
    </row>
    <row r="368" spans="1:25" x14ac:dyDescent="0.25">
      <c r="A368" t="s">
        <v>2</v>
      </c>
      <c r="B368">
        <v>27.452000000000002</v>
      </c>
      <c r="C368">
        <v>6.5089399999999999</v>
      </c>
      <c r="D368">
        <f t="shared" ref="D368:D377" si="110">B368-C368</f>
        <v>20.943060000000003</v>
      </c>
      <c r="E368" s="1">
        <f t="shared" ref="E368:E377" si="111">D368/C368</f>
        <v>3.2175838154906948</v>
      </c>
      <c r="N368" t="s">
        <v>20</v>
      </c>
      <c r="O368" s="2">
        <f>MIN(U354:U373)</f>
        <v>2.2860862658424557</v>
      </c>
      <c r="U368" s="1">
        <f t="shared" si="109"/>
        <v>3.1317969761745026</v>
      </c>
    </row>
    <row r="369" spans="1:25" x14ac:dyDescent="0.25">
      <c r="A369" t="s">
        <v>3</v>
      </c>
      <c r="B369">
        <v>28.468399999999999</v>
      </c>
      <c r="C369">
        <v>6.4279599999999997</v>
      </c>
      <c r="D369">
        <f t="shared" si="110"/>
        <v>22.04044</v>
      </c>
      <c r="E369" s="1">
        <f t="shared" si="111"/>
        <v>3.4288390095769112</v>
      </c>
      <c r="N369" t="s">
        <v>21</v>
      </c>
      <c r="O369" s="2">
        <f>MAX(U354:U373)</f>
        <v>3.439896991018363</v>
      </c>
      <c r="U369" s="1">
        <f t="shared" si="109"/>
        <v>3.0894897256025096</v>
      </c>
    </row>
    <row r="370" spans="1:25" x14ac:dyDescent="0.25">
      <c r="A370" t="s">
        <v>4</v>
      </c>
      <c r="B370">
        <v>26.2727</v>
      </c>
      <c r="C370">
        <v>6.3629300000000004</v>
      </c>
      <c r="D370">
        <f t="shared" si="110"/>
        <v>19.909770000000002</v>
      </c>
      <c r="E370" s="1">
        <f t="shared" si="111"/>
        <v>3.129025464683723</v>
      </c>
      <c r="N370" t="s">
        <v>22</v>
      </c>
      <c r="O370" s="2">
        <f>AVERAGE(U354:U373)</f>
        <v>3.0513396520890219</v>
      </c>
      <c r="U370" s="1">
        <f t="shared" si="109"/>
        <v>2.8427943656547447</v>
      </c>
    </row>
    <row r="371" spans="1:25" x14ac:dyDescent="0.25">
      <c r="A371" t="s">
        <v>5</v>
      </c>
      <c r="B371">
        <v>27.4758</v>
      </c>
      <c r="C371">
        <v>6.4831399999999997</v>
      </c>
      <c r="D371">
        <f t="shared" si="110"/>
        <v>20.992660000000001</v>
      </c>
      <c r="E371" s="1">
        <f t="shared" si="111"/>
        <v>3.2380389749411553</v>
      </c>
      <c r="U371" s="1">
        <f t="shared" si="109"/>
        <v>3.439896991018363</v>
      </c>
    </row>
    <row r="372" spans="1:25" x14ac:dyDescent="0.25">
      <c r="A372" t="s">
        <v>6</v>
      </c>
      <c r="B372">
        <v>26.481100000000001</v>
      </c>
      <c r="C372">
        <v>6.4090999999999996</v>
      </c>
      <c r="D372">
        <f t="shared" si="110"/>
        <v>20.072000000000003</v>
      </c>
      <c r="E372" s="1">
        <f t="shared" si="111"/>
        <v>3.1317969761745026</v>
      </c>
      <c r="U372" s="1">
        <f t="shared" si="109"/>
        <v>2.7324747230803639</v>
      </c>
    </row>
    <row r="373" spans="1:25" x14ac:dyDescent="0.25">
      <c r="A373" t="s">
        <v>7</v>
      </c>
      <c r="B373">
        <v>27.3584</v>
      </c>
      <c r="C373">
        <v>6.6899300000000004</v>
      </c>
      <c r="D373">
        <f t="shared" si="110"/>
        <v>20.668469999999999</v>
      </c>
      <c r="E373" s="1">
        <f t="shared" si="111"/>
        <v>3.0894897256025096</v>
      </c>
      <c r="U373" s="1">
        <f t="shared" si="109"/>
        <v>2.2860862658424557</v>
      </c>
    </row>
    <row r="374" spans="1:25" x14ac:dyDescent="0.25">
      <c r="A374" t="s">
        <v>8</v>
      </c>
      <c r="B374">
        <v>25.543399999999998</v>
      </c>
      <c r="C374">
        <v>6.6470900000000004</v>
      </c>
      <c r="D374">
        <f t="shared" si="110"/>
        <v>18.89631</v>
      </c>
      <c r="E374" s="1">
        <f t="shared" si="111"/>
        <v>2.8427943656547447</v>
      </c>
    </row>
    <row r="375" spans="1:25" x14ac:dyDescent="0.25">
      <c r="A375" t="s">
        <v>9</v>
      </c>
      <c r="B375">
        <v>26.654299999999999</v>
      </c>
      <c r="C375">
        <v>6.0033599999999998</v>
      </c>
      <c r="D375">
        <f t="shared" si="110"/>
        <v>20.650939999999999</v>
      </c>
      <c r="E375" s="1">
        <f t="shared" si="111"/>
        <v>3.439896991018363</v>
      </c>
    </row>
    <row r="376" spans="1:25" x14ac:dyDescent="0.25">
      <c r="A376" t="s">
        <v>10</v>
      </c>
      <c r="B376">
        <v>23.028099999999998</v>
      </c>
      <c r="C376">
        <v>6.1696600000000004</v>
      </c>
      <c r="D376">
        <f t="shared" si="110"/>
        <v>16.858439999999998</v>
      </c>
      <c r="E376" s="1">
        <f t="shared" si="111"/>
        <v>2.7324747230803639</v>
      </c>
    </row>
    <row r="377" spans="1:25" x14ac:dyDescent="0.25">
      <c r="A377" t="s">
        <v>11</v>
      </c>
      <c r="B377">
        <v>47.577599999999997</v>
      </c>
      <c r="C377">
        <v>14.4785</v>
      </c>
      <c r="D377">
        <f t="shared" si="110"/>
        <v>33.099099999999993</v>
      </c>
      <c r="E377" s="1">
        <f t="shared" si="111"/>
        <v>2.2860862658424557</v>
      </c>
    </row>
    <row r="379" spans="1:25" x14ac:dyDescent="0.25">
      <c r="A379" s="6" t="s">
        <v>39</v>
      </c>
      <c r="B379" s="6"/>
    </row>
    <row r="381" spans="1:25" x14ac:dyDescent="0.25">
      <c r="A381" t="s">
        <v>1</v>
      </c>
      <c r="B381" t="s">
        <v>12</v>
      </c>
      <c r="C381" t="s">
        <v>13</v>
      </c>
      <c r="E381" t="s">
        <v>15</v>
      </c>
      <c r="I381" t="s">
        <v>16</v>
      </c>
      <c r="J381" t="s">
        <v>17</v>
      </c>
      <c r="K381" t="s">
        <v>18</v>
      </c>
      <c r="U381" s="1">
        <f t="shared" ref="U381:U390" si="112">J382</f>
        <v>1.7791646125091012</v>
      </c>
      <c r="W381" s="2">
        <f>O395</f>
        <v>1.1645859233068001</v>
      </c>
      <c r="X381" s="2">
        <f>O396</f>
        <v>1.7942970788920034</v>
      </c>
      <c r="Y381" s="2">
        <f>O397</f>
        <v>1.6240975208218082</v>
      </c>
    </row>
    <row r="382" spans="1:25" x14ac:dyDescent="0.25">
      <c r="A382" t="s">
        <v>2</v>
      </c>
      <c r="B382">
        <v>6.2246046619238999</v>
      </c>
      <c r="C382">
        <v>2.2397394648401798</v>
      </c>
      <c r="D382">
        <f t="shared" ref="D382:D391" si="113">B382-C382</f>
        <v>3.9848651970837201</v>
      </c>
      <c r="E382" s="1">
        <f t="shared" ref="E382:E391" si="114">D382/C382</f>
        <v>1.7791646125091012</v>
      </c>
      <c r="I382" t="s">
        <v>2</v>
      </c>
      <c r="J382" s="1">
        <f t="shared" ref="J382:J391" si="115">E382</f>
        <v>1.7791646125091012</v>
      </c>
      <c r="K382" s="1">
        <f t="shared" ref="K382:K391" si="116">E395</f>
        <v>1.6791429386662531</v>
      </c>
      <c r="U382" s="1">
        <f t="shared" si="112"/>
        <v>1.7942970788920034</v>
      </c>
    </row>
    <row r="383" spans="1:25" x14ac:dyDescent="0.25">
      <c r="A383" t="s">
        <v>3</v>
      </c>
      <c r="B383">
        <v>6.2196391011444598</v>
      </c>
      <c r="C383">
        <v>2.2258331614513498</v>
      </c>
      <c r="D383">
        <f t="shared" si="113"/>
        <v>3.99380593969311</v>
      </c>
      <c r="E383" s="1">
        <f t="shared" si="114"/>
        <v>1.7942970788920034</v>
      </c>
      <c r="I383" t="s">
        <v>3</v>
      </c>
      <c r="J383" s="1">
        <f t="shared" si="115"/>
        <v>1.7942970788920034</v>
      </c>
      <c r="K383" s="1">
        <f t="shared" si="116"/>
        <v>1.7138754445556503</v>
      </c>
      <c r="U383" s="1">
        <f t="shared" si="112"/>
        <v>1.7007916763152995</v>
      </c>
    </row>
    <row r="384" spans="1:25" x14ac:dyDescent="0.25">
      <c r="A384" t="s">
        <v>4</v>
      </c>
      <c r="B384">
        <v>6.0622536220228804</v>
      </c>
      <c r="C384">
        <v>2.2446209662100398</v>
      </c>
      <c r="D384">
        <f t="shared" si="113"/>
        <v>3.8176326558128406</v>
      </c>
      <c r="E384" s="1">
        <f t="shared" si="114"/>
        <v>1.7007916763152995</v>
      </c>
      <c r="I384" t="s">
        <v>4</v>
      </c>
      <c r="J384" s="1">
        <f t="shared" si="115"/>
        <v>1.7007916763152995</v>
      </c>
      <c r="K384" s="1">
        <f t="shared" si="116"/>
        <v>1.7327068033396837</v>
      </c>
      <c r="U384" s="1">
        <f t="shared" si="112"/>
        <v>1.767146427464158</v>
      </c>
    </row>
    <row r="385" spans="1:21" x14ac:dyDescent="0.25">
      <c r="A385" t="s">
        <v>5</v>
      </c>
      <c r="B385">
        <v>6.2522984150943497</v>
      </c>
      <c r="C385">
        <v>2.2594750870571101</v>
      </c>
      <c r="D385">
        <f t="shared" si="113"/>
        <v>3.9928233280372396</v>
      </c>
      <c r="E385" s="1">
        <f t="shared" si="114"/>
        <v>1.767146427464158</v>
      </c>
      <c r="I385" t="s">
        <v>5</v>
      </c>
      <c r="J385" s="1">
        <f t="shared" si="115"/>
        <v>1.767146427464158</v>
      </c>
      <c r="K385" s="1">
        <f t="shared" si="116"/>
        <v>1.6354388060440692</v>
      </c>
      <c r="U385" s="1">
        <f t="shared" si="112"/>
        <v>1.7183245960801257</v>
      </c>
    </row>
    <row r="386" spans="1:21" x14ac:dyDescent="0.25">
      <c r="A386" t="s">
        <v>6</v>
      </c>
      <c r="B386">
        <v>6.2587040983606501</v>
      </c>
      <c r="C386">
        <v>2.3024123415525199</v>
      </c>
      <c r="D386">
        <f t="shared" si="113"/>
        <v>3.9562917568081302</v>
      </c>
      <c r="E386" s="1">
        <f t="shared" si="114"/>
        <v>1.7183245960801257</v>
      </c>
      <c r="I386" t="s">
        <v>6</v>
      </c>
      <c r="J386" s="1">
        <f t="shared" si="115"/>
        <v>1.7183245960801257</v>
      </c>
      <c r="K386" s="1">
        <f t="shared" si="116"/>
        <v>1.5965048691684542</v>
      </c>
      <c r="U386" s="1">
        <f t="shared" si="112"/>
        <v>1.7422787179309716</v>
      </c>
    </row>
    <row r="387" spans="1:21" x14ac:dyDescent="0.25">
      <c r="A387" t="s">
        <v>7</v>
      </c>
      <c r="B387">
        <v>6.2551709347355304</v>
      </c>
      <c r="C387">
        <v>2.2810120991111398</v>
      </c>
      <c r="D387">
        <f t="shared" si="113"/>
        <v>3.9741588356243907</v>
      </c>
      <c r="E387" s="1">
        <f t="shared" si="114"/>
        <v>1.7422787179309716</v>
      </c>
      <c r="I387" t="s">
        <v>7</v>
      </c>
      <c r="J387" s="1">
        <f t="shared" si="115"/>
        <v>1.7422787179309716</v>
      </c>
      <c r="K387" s="1">
        <f t="shared" si="116"/>
        <v>1.6120685200123901</v>
      </c>
      <c r="U387" s="1">
        <f t="shared" si="112"/>
        <v>1.726797152225477</v>
      </c>
    </row>
    <row r="388" spans="1:21" x14ac:dyDescent="0.25">
      <c r="A388" t="s">
        <v>8</v>
      </c>
      <c r="B388">
        <v>6.2798162969378204</v>
      </c>
      <c r="C388">
        <v>2.3030009004566199</v>
      </c>
      <c r="D388">
        <f t="shared" si="113"/>
        <v>3.9768153964812005</v>
      </c>
      <c r="E388" s="1">
        <f t="shared" si="114"/>
        <v>1.726797152225477</v>
      </c>
      <c r="I388" t="s">
        <v>8</v>
      </c>
      <c r="J388" s="1">
        <f t="shared" si="115"/>
        <v>1.726797152225477</v>
      </c>
      <c r="K388" s="1">
        <f t="shared" si="116"/>
        <v>1.5926233420956877</v>
      </c>
      <c r="U388" s="1">
        <f t="shared" si="112"/>
        <v>1.7050110064951196</v>
      </c>
    </row>
    <row r="389" spans="1:21" x14ac:dyDescent="0.25">
      <c r="A389" t="s">
        <v>9</v>
      </c>
      <c r="B389">
        <v>6.4052785833591104</v>
      </c>
      <c r="C389">
        <v>2.3679306915865102</v>
      </c>
      <c r="D389">
        <f t="shared" si="113"/>
        <v>4.0373478917726002</v>
      </c>
      <c r="E389" s="1">
        <f t="shared" si="114"/>
        <v>1.7050110064951196</v>
      </c>
      <c r="I389" t="s">
        <v>9</v>
      </c>
      <c r="J389" s="1">
        <f t="shared" si="115"/>
        <v>1.7050110064951196</v>
      </c>
      <c r="K389" s="1">
        <f t="shared" si="116"/>
        <v>1.5250214259861581</v>
      </c>
      <c r="U389" s="1">
        <f t="shared" si="112"/>
        <v>1.5773465808786837</v>
      </c>
    </row>
    <row r="390" spans="1:21" x14ac:dyDescent="0.25">
      <c r="A390" t="s">
        <v>10</v>
      </c>
      <c r="B390">
        <v>6.3011281472316698</v>
      </c>
      <c r="C390">
        <v>2.4448121156772999</v>
      </c>
      <c r="D390">
        <f t="shared" si="113"/>
        <v>3.8563160315543699</v>
      </c>
      <c r="E390" s="1">
        <f t="shared" si="114"/>
        <v>1.5773465808786837</v>
      </c>
      <c r="I390" t="s">
        <v>10</v>
      </c>
      <c r="J390" s="1">
        <f t="shared" si="115"/>
        <v>1.5773465808786837</v>
      </c>
      <c r="K390" s="1">
        <f t="shared" si="116"/>
        <v>1.4168487674131633</v>
      </c>
      <c r="U390" s="1">
        <f t="shared" si="112"/>
        <v>1.3019757270569103</v>
      </c>
    </row>
    <row r="391" spans="1:21" x14ac:dyDescent="0.25">
      <c r="A391" t="s">
        <v>11</v>
      </c>
      <c r="B391">
        <v>12.7259481244587</v>
      </c>
      <c r="C391">
        <v>5.5282720729331496</v>
      </c>
      <c r="D391">
        <f t="shared" si="113"/>
        <v>7.1976760515255505</v>
      </c>
      <c r="E391" s="1">
        <f t="shared" si="114"/>
        <v>1.3019757270569103</v>
      </c>
      <c r="I391" t="s">
        <v>11</v>
      </c>
      <c r="J391" s="1">
        <f t="shared" si="115"/>
        <v>1.3019757270569103</v>
      </c>
      <c r="K391" s="1">
        <f t="shared" si="116"/>
        <v>1.1645859233068001</v>
      </c>
      <c r="U391" s="1">
        <f t="shared" ref="U391:U400" si="117">K382</f>
        <v>1.6791429386662531</v>
      </c>
    </row>
    <row r="392" spans="1:21" x14ac:dyDescent="0.25">
      <c r="U392" s="1">
        <f t="shared" si="117"/>
        <v>1.7138754445556503</v>
      </c>
    </row>
    <row r="393" spans="1:21" x14ac:dyDescent="0.25">
      <c r="U393" s="1">
        <f t="shared" si="117"/>
        <v>1.7327068033396837</v>
      </c>
    </row>
    <row r="394" spans="1:21" x14ac:dyDescent="0.25">
      <c r="A394" t="s">
        <v>1</v>
      </c>
      <c r="B394" t="s">
        <v>14</v>
      </c>
      <c r="C394" t="s">
        <v>13</v>
      </c>
      <c r="I394" t="s">
        <v>19</v>
      </c>
      <c r="J394" s="2">
        <f>AVERAGE(J382:J391)</f>
        <v>1.681313357584785</v>
      </c>
      <c r="K394" s="2">
        <f>AVERAGE(K382:K391)</f>
        <v>1.5668816840588311</v>
      </c>
      <c r="U394" s="1">
        <f t="shared" si="117"/>
        <v>1.6354388060440692</v>
      </c>
    </row>
    <row r="395" spans="1:21" x14ac:dyDescent="0.25">
      <c r="A395" t="s">
        <v>2</v>
      </c>
      <c r="B395">
        <v>6.0005821716787002</v>
      </c>
      <c r="C395">
        <v>2.2397394648401798</v>
      </c>
      <c r="D395">
        <f t="shared" ref="D395:D404" si="118">B395-C395</f>
        <v>3.7608427068385204</v>
      </c>
      <c r="E395" s="1">
        <f t="shared" ref="E395:E404" si="119">D395/C395</f>
        <v>1.6791429386662531</v>
      </c>
      <c r="N395" t="s">
        <v>20</v>
      </c>
      <c r="O395" s="2">
        <f>MIN(U381:U400)</f>
        <v>1.1645859233068001</v>
      </c>
      <c r="U395" s="1">
        <f t="shared" si="117"/>
        <v>1.5965048691684542</v>
      </c>
    </row>
    <row r="396" spans="1:21" x14ac:dyDescent="0.25">
      <c r="A396" t="s">
        <v>3</v>
      </c>
      <c r="B396">
        <v>6.0406339605404904</v>
      </c>
      <c r="C396">
        <v>2.2258331614513498</v>
      </c>
      <c r="D396">
        <f t="shared" si="118"/>
        <v>3.8148007990891406</v>
      </c>
      <c r="E396" s="1">
        <f t="shared" si="119"/>
        <v>1.7138754445556503</v>
      </c>
      <c r="N396" t="s">
        <v>21</v>
      </c>
      <c r="O396" s="2">
        <f>MAX(U381:U400)</f>
        <v>1.7942970788920034</v>
      </c>
      <c r="U396" s="1">
        <f t="shared" si="117"/>
        <v>1.6120685200123901</v>
      </c>
    </row>
    <row r="397" spans="1:21" x14ac:dyDescent="0.25">
      <c r="A397" t="s">
        <v>4</v>
      </c>
      <c r="B397">
        <v>6.1338909852810701</v>
      </c>
      <c r="C397">
        <v>2.2446209662100398</v>
      </c>
      <c r="D397">
        <f t="shared" si="118"/>
        <v>3.8892700190710303</v>
      </c>
      <c r="E397" s="1">
        <f t="shared" si="119"/>
        <v>1.7327068033396837</v>
      </c>
      <c r="N397" t="s">
        <v>22</v>
      </c>
      <c r="O397" s="2">
        <f>AVERAGE(U381:U400)</f>
        <v>1.6240975208218082</v>
      </c>
      <c r="U397" s="1">
        <f t="shared" si="117"/>
        <v>1.5926233420956877</v>
      </c>
    </row>
    <row r="398" spans="1:21" x14ac:dyDescent="0.25">
      <c r="A398" t="s">
        <v>5</v>
      </c>
      <c r="B398">
        <v>5.9547083257201097</v>
      </c>
      <c r="C398">
        <v>2.2594750870571101</v>
      </c>
      <c r="D398">
        <f t="shared" si="118"/>
        <v>3.6952332386629996</v>
      </c>
      <c r="E398" s="1">
        <f t="shared" si="119"/>
        <v>1.6354388060440692</v>
      </c>
      <c r="U398" s="1">
        <f t="shared" si="117"/>
        <v>1.5250214259861581</v>
      </c>
    </row>
    <row r="399" spans="1:21" x14ac:dyDescent="0.25">
      <c r="A399" t="s">
        <v>6</v>
      </c>
      <c r="B399">
        <v>5.97822485567466</v>
      </c>
      <c r="C399">
        <v>2.3024123415525199</v>
      </c>
      <c r="D399">
        <f t="shared" si="118"/>
        <v>3.6758125141221401</v>
      </c>
      <c r="E399" s="1">
        <f t="shared" si="119"/>
        <v>1.5965048691684542</v>
      </c>
      <c r="U399" s="1">
        <f t="shared" si="117"/>
        <v>1.4168487674131633</v>
      </c>
    </row>
    <row r="400" spans="1:21" x14ac:dyDescent="0.25">
      <c r="A400" t="s">
        <v>7</v>
      </c>
      <c r="B400">
        <v>5.9581598978555901</v>
      </c>
      <c r="C400">
        <v>2.2810120991111398</v>
      </c>
      <c r="D400">
        <f t="shared" si="118"/>
        <v>3.6771477987444503</v>
      </c>
      <c r="E400" s="1">
        <f t="shared" si="119"/>
        <v>1.6120685200123901</v>
      </c>
      <c r="U400" s="1">
        <f t="shared" si="117"/>
        <v>1.1645859233068001</v>
      </c>
    </row>
    <row r="401" spans="1:25" x14ac:dyDescent="0.25">
      <c r="A401" t="s">
        <v>8</v>
      </c>
      <c r="B401">
        <v>5.9708138913912201</v>
      </c>
      <c r="C401">
        <v>2.3030009004566199</v>
      </c>
      <c r="D401">
        <f t="shared" si="118"/>
        <v>3.6678129909346002</v>
      </c>
      <c r="E401" s="1">
        <f t="shared" si="119"/>
        <v>1.5926233420956877</v>
      </c>
    </row>
    <row r="402" spans="1:25" x14ac:dyDescent="0.25">
      <c r="A402" t="s">
        <v>9</v>
      </c>
      <c r="B402">
        <v>5.9790757315061596</v>
      </c>
      <c r="C402">
        <v>2.3679306915865102</v>
      </c>
      <c r="D402">
        <f t="shared" si="118"/>
        <v>3.6111450399196494</v>
      </c>
      <c r="E402" s="1">
        <f t="shared" si="119"/>
        <v>1.5250214259861581</v>
      </c>
    </row>
    <row r="403" spans="1:25" x14ac:dyDescent="0.25">
      <c r="A403" t="s">
        <v>10</v>
      </c>
      <c r="B403">
        <v>5.9087411483314503</v>
      </c>
      <c r="C403">
        <v>2.4448121156772999</v>
      </c>
      <c r="D403">
        <f t="shared" si="118"/>
        <v>3.4639290326541503</v>
      </c>
      <c r="E403" s="1">
        <f t="shared" si="119"/>
        <v>1.4168487674131633</v>
      </c>
    </row>
    <row r="404" spans="1:25" x14ac:dyDescent="0.25">
      <c r="A404" t="s">
        <v>11</v>
      </c>
      <c r="B404">
        <v>11.9664199092812</v>
      </c>
      <c r="C404">
        <v>5.5282720729331496</v>
      </c>
      <c r="D404">
        <f t="shared" si="118"/>
        <v>6.4381478363480502</v>
      </c>
      <c r="E404" s="1">
        <f t="shared" si="119"/>
        <v>1.1645859233068001</v>
      </c>
    </row>
    <row r="406" spans="1:25" x14ac:dyDescent="0.25">
      <c r="A406" s="6" t="s">
        <v>40</v>
      </c>
      <c r="B406" s="6"/>
    </row>
    <row r="408" spans="1:25" x14ac:dyDescent="0.25">
      <c r="A408" t="s">
        <v>1</v>
      </c>
      <c r="B408" t="s">
        <v>12</v>
      </c>
      <c r="C408" t="s">
        <v>13</v>
      </c>
      <c r="E408" t="s">
        <v>15</v>
      </c>
      <c r="I408" t="s">
        <v>16</v>
      </c>
      <c r="J408" t="s">
        <v>17</v>
      </c>
      <c r="K408" t="s">
        <v>18</v>
      </c>
      <c r="U408" s="1">
        <f t="shared" ref="U408:U417" si="120">J409</f>
        <v>3.12880346812518</v>
      </c>
      <c r="W408" s="2">
        <f>O422</f>
        <v>2.4757076230709898</v>
      </c>
      <c r="X408" s="2">
        <f>O423</f>
        <v>3.4707342823663163</v>
      </c>
      <c r="Y408" s="2">
        <f>O424</f>
        <v>2.9813353477614215</v>
      </c>
    </row>
    <row r="409" spans="1:25" x14ac:dyDescent="0.25">
      <c r="A409" t="s">
        <v>2</v>
      </c>
      <c r="B409">
        <v>37.419800000000002</v>
      </c>
      <c r="C409">
        <v>9.06311</v>
      </c>
      <c r="D409">
        <f t="shared" ref="D409:D418" si="121">B409-C409</f>
        <v>28.35669</v>
      </c>
      <c r="E409" s="1">
        <f t="shared" ref="E409:E418" si="122">D409/C409</f>
        <v>3.12880346812518</v>
      </c>
      <c r="I409" t="s">
        <v>2</v>
      </c>
      <c r="J409" s="1">
        <f t="shared" ref="J409:J418" si="123">E409</f>
        <v>3.12880346812518</v>
      </c>
      <c r="K409" s="1">
        <f t="shared" ref="K409:K418" si="124">E422</f>
        <v>2.6571441811916658</v>
      </c>
      <c r="U409" s="1">
        <f t="shared" si="120"/>
        <v>3.3865740740740744</v>
      </c>
    </row>
    <row r="410" spans="1:25" x14ac:dyDescent="0.25">
      <c r="A410" t="s">
        <v>3</v>
      </c>
      <c r="B410">
        <v>38.241100000000003</v>
      </c>
      <c r="C410">
        <v>8.7177600000000002</v>
      </c>
      <c r="D410">
        <f t="shared" si="121"/>
        <v>29.523340000000005</v>
      </c>
      <c r="E410" s="1">
        <f t="shared" si="122"/>
        <v>3.3865740740740744</v>
      </c>
      <c r="I410" t="s">
        <v>3</v>
      </c>
      <c r="J410" s="1">
        <f t="shared" si="123"/>
        <v>3.3865740740740744</v>
      </c>
      <c r="K410" s="1">
        <f t="shared" si="124"/>
        <v>2.7036119370113423</v>
      </c>
      <c r="U410" s="1">
        <f t="shared" si="120"/>
        <v>3.1689915710577052</v>
      </c>
    </row>
    <row r="411" spans="1:25" x14ac:dyDescent="0.25">
      <c r="A411" t="s">
        <v>4</v>
      </c>
      <c r="B411">
        <v>36.566099999999999</v>
      </c>
      <c r="C411">
        <v>8.7709700000000002</v>
      </c>
      <c r="D411">
        <f t="shared" si="121"/>
        <v>27.79513</v>
      </c>
      <c r="E411" s="1">
        <f t="shared" si="122"/>
        <v>3.1689915710577052</v>
      </c>
      <c r="I411" t="s">
        <v>4</v>
      </c>
      <c r="J411" s="1">
        <f t="shared" si="123"/>
        <v>3.1689915710577052</v>
      </c>
      <c r="K411" s="1">
        <f t="shared" si="124"/>
        <v>2.7698224939772911</v>
      </c>
      <c r="U411" s="1">
        <f t="shared" si="120"/>
        <v>3.4707342823663163</v>
      </c>
    </row>
    <row r="412" spans="1:25" x14ac:dyDescent="0.25">
      <c r="A412" t="s">
        <v>5</v>
      </c>
      <c r="B412">
        <v>38.534599999999998</v>
      </c>
      <c r="C412">
        <v>8.6193000000000008</v>
      </c>
      <c r="D412">
        <f t="shared" si="121"/>
        <v>29.915299999999995</v>
      </c>
      <c r="E412" s="1">
        <f t="shared" si="122"/>
        <v>3.4707342823663163</v>
      </c>
      <c r="I412" t="s">
        <v>5</v>
      </c>
      <c r="J412" s="1">
        <f t="shared" si="123"/>
        <v>3.4707342823663163</v>
      </c>
      <c r="K412" s="1">
        <f t="shared" si="124"/>
        <v>2.8164468112259691</v>
      </c>
      <c r="U412" s="1">
        <f t="shared" si="120"/>
        <v>3.3727635539234222</v>
      </c>
    </row>
    <row r="413" spans="1:25" x14ac:dyDescent="0.25">
      <c r="A413" t="s">
        <v>6</v>
      </c>
      <c r="B413">
        <v>38.151400000000002</v>
      </c>
      <c r="C413">
        <v>8.7247800000000009</v>
      </c>
      <c r="D413">
        <f t="shared" si="121"/>
        <v>29.42662</v>
      </c>
      <c r="E413" s="1">
        <f t="shared" si="122"/>
        <v>3.3727635539234222</v>
      </c>
      <c r="I413" t="s">
        <v>6</v>
      </c>
      <c r="J413" s="1">
        <f t="shared" si="123"/>
        <v>3.3727635539234222</v>
      </c>
      <c r="K413" s="1">
        <f t="shared" si="124"/>
        <v>2.8106748823466035</v>
      </c>
      <c r="U413" s="1">
        <f t="shared" si="120"/>
        <v>3.4341802997435256</v>
      </c>
    </row>
    <row r="414" spans="1:25" x14ac:dyDescent="0.25">
      <c r="A414" t="s">
        <v>7</v>
      </c>
      <c r="B414">
        <v>38.122199999999999</v>
      </c>
      <c r="C414">
        <v>8.5973500000000005</v>
      </c>
      <c r="D414">
        <f t="shared" si="121"/>
        <v>29.524850000000001</v>
      </c>
      <c r="E414" s="1">
        <f t="shared" si="122"/>
        <v>3.4341802997435256</v>
      </c>
      <c r="I414" t="s">
        <v>7</v>
      </c>
      <c r="J414" s="1">
        <f t="shared" si="123"/>
        <v>3.4341802997435256</v>
      </c>
      <c r="K414" s="1">
        <f t="shared" si="124"/>
        <v>2.7264622238247833</v>
      </c>
      <c r="U414" s="1">
        <f t="shared" si="120"/>
        <v>3.3917167480223749</v>
      </c>
    </row>
    <row r="415" spans="1:25" x14ac:dyDescent="0.25">
      <c r="A415" t="s">
        <v>8</v>
      </c>
      <c r="B415">
        <v>37.985100000000003</v>
      </c>
      <c r="C415">
        <v>8.6492599999999999</v>
      </c>
      <c r="D415">
        <f t="shared" si="121"/>
        <v>29.335840000000005</v>
      </c>
      <c r="E415" s="1">
        <f t="shared" si="122"/>
        <v>3.3917167480223749</v>
      </c>
      <c r="I415" t="s">
        <v>8</v>
      </c>
      <c r="J415" s="1">
        <f t="shared" si="123"/>
        <v>3.3917167480223749</v>
      </c>
      <c r="K415" s="1">
        <f t="shared" si="124"/>
        <v>2.6490520576326761</v>
      </c>
      <c r="U415" s="1">
        <f t="shared" si="120"/>
        <v>3.4000962910170678</v>
      </c>
    </row>
    <row r="416" spans="1:25" x14ac:dyDescent="0.25">
      <c r="A416" t="s">
        <v>9</v>
      </c>
      <c r="B416">
        <v>37.104999999999997</v>
      </c>
      <c r="C416">
        <v>8.4327699999999997</v>
      </c>
      <c r="D416">
        <f t="shared" si="121"/>
        <v>28.672229999999999</v>
      </c>
      <c r="E416" s="1">
        <f t="shared" si="122"/>
        <v>3.4000962910170678</v>
      </c>
      <c r="I416" t="s">
        <v>9</v>
      </c>
      <c r="J416" s="1">
        <f t="shared" si="123"/>
        <v>3.4000962910170678</v>
      </c>
      <c r="K416" s="1">
        <f t="shared" si="124"/>
        <v>2.6807952784197839</v>
      </c>
      <c r="U416" s="1">
        <f t="shared" si="120"/>
        <v>3.3664739199224898</v>
      </c>
    </row>
    <row r="417" spans="1:21" x14ac:dyDescent="0.25">
      <c r="A417" t="s">
        <v>10</v>
      </c>
      <c r="B417">
        <v>33.890300000000003</v>
      </c>
      <c r="C417">
        <v>7.7614799999999997</v>
      </c>
      <c r="D417">
        <f t="shared" si="121"/>
        <v>26.128820000000005</v>
      </c>
      <c r="E417" s="1">
        <f t="shared" si="122"/>
        <v>3.3664739199224898</v>
      </c>
      <c r="I417" t="s">
        <v>10</v>
      </c>
      <c r="J417" s="1">
        <f t="shared" si="123"/>
        <v>3.3664739199224898</v>
      </c>
      <c r="K417" s="1">
        <f t="shared" si="124"/>
        <v>2.6134860877049224</v>
      </c>
      <c r="U417" s="1">
        <f t="shared" si="120"/>
        <v>2.6031691705702364</v>
      </c>
    </row>
    <row r="418" spans="1:21" x14ac:dyDescent="0.25">
      <c r="A418" t="s">
        <v>11</v>
      </c>
      <c r="B418">
        <v>70.536000000000001</v>
      </c>
      <c r="C418">
        <v>19.5761</v>
      </c>
      <c r="D418">
        <f t="shared" si="121"/>
        <v>50.959900000000005</v>
      </c>
      <c r="E418" s="1">
        <f t="shared" si="122"/>
        <v>2.6031691705702364</v>
      </c>
      <c r="I418" t="s">
        <v>11</v>
      </c>
      <c r="J418" s="1">
        <f t="shared" si="123"/>
        <v>2.6031691705702364</v>
      </c>
      <c r="K418" s="1">
        <f t="shared" si="124"/>
        <v>2.4757076230709898</v>
      </c>
      <c r="U418" s="1">
        <f t="shared" ref="U418:U427" si="125">K409</f>
        <v>2.6571441811916658</v>
      </c>
    </row>
    <row r="419" spans="1:21" x14ac:dyDescent="0.25">
      <c r="U419" s="1">
        <f t="shared" si="125"/>
        <v>2.7036119370113423</v>
      </c>
    </row>
    <row r="420" spans="1:21" x14ac:dyDescent="0.25">
      <c r="U420" s="1">
        <f t="shared" si="125"/>
        <v>2.7698224939772911</v>
      </c>
    </row>
    <row r="421" spans="1:21" x14ac:dyDescent="0.25">
      <c r="A421" t="s">
        <v>1</v>
      </c>
      <c r="B421" t="s">
        <v>14</v>
      </c>
      <c r="C421" t="s">
        <v>13</v>
      </c>
      <c r="I421" t="s">
        <v>19</v>
      </c>
      <c r="J421" s="2">
        <f>AVERAGE(J409:J418)</f>
        <v>3.2723503378822394</v>
      </c>
      <c r="K421" s="2">
        <f>AVERAGE(K409:K418)</f>
        <v>2.6903203576406027</v>
      </c>
      <c r="U421" s="1">
        <f t="shared" si="125"/>
        <v>2.8164468112259691</v>
      </c>
    </row>
    <row r="422" spans="1:21" x14ac:dyDescent="0.25">
      <c r="A422" t="s">
        <v>2</v>
      </c>
      <c r="B422">
        <v>33.145099999999999</v>
      </c>
      <c r="C422">
        <v>9.06311</v>
      </c>
      <c r="D422">
        <f t="shared" ref="D422:D431" si="126">B422-C422</f>
        <v>24.081989999999998</v>
      </c>
      <c r="E422" s="1">
        <f t="shared" ref="E422:E431" si="127">D422/C422</f>
        <v>2.6571441811916658</v>
      </c>
      <c r="N422" t="s">
        <v>20</v>
      </c>
      <c r="O422" s="2">
        <f>MIN(U408:U427)</f>
        <v>2.4757076230709898</v>
      </c>
      <c r="U422" s="1">
        <f t="shared" si="125"/>
        <v>2.8106748823466035</v>
      </c>
    </row>
    <row r="423" spans="1:21" x14ac:dyDescent="0.25">
      <c r="A423" t="s">
        <v>3</v>
      </c>
      <c r="B423">
        <v>32.287199999999999</v>
      </c>
      <c r="C423">
        <v>8.7177600000000002</v>
      </c>
      <c r="D423">
        <f t="shared" si="126"/>
        <v>23.56944</v>
      </c>
      <c r="E423" s="1">
        <f t="shared" si="127"/>
        <v>2.7036119370113423</v>
      </c>
      <c r="N423" t="s">
        <v>21</v>
      </c>
      <c r="O423" s="2">
        <f>MAX(U408:U427)</f>
        <v>3.4707342823663163</v>
      </c>
      <c r="U423" s="1">
        <f t="shared" si="125"/>
        <v>2.7264622238247833</v>
      </c>
    </row>
    <row r="424" spans="1:21" x14ac:dyDescent="0.25">
      <c r="A424" t="s">
        <v>4</v>
      </c>
      <c r="B424">
        <v>33.064999999999998</v>
      </c>
      <c r="C424">
        <v>8.7709700000000002</v>
      </c>
      <c r="D424">
        <f t="shared" si="126"/>
        <v>24.294029999999999</v>
      </c>
      <c r="E424" s="1">
        <f t="shared" si="127"/>
        <v>2.7698224939772911</v>
      </c>
      <c r="N424" t="s">
        <v>22</v>
      </c>
      <c r="O424" s="2">
        <f>AVERAGE(U408:U427)</f>
        <v>2.9813353477614215</v>
      </c>
      <c r="U424" s="1">
        <f t="shared" si="125"/>
        <v>2.6490520576326761</v>
      </c>
    </row>
    <row r="425" spans="1:21" x14ac:dyDescent="0.25">
      <c r="A425" t="s">
        <v>5</v>
      </c>
      <c r="B425">
        <v>32.895099999999999</v>
      </c>
      <c r="C425">
        <v>8.6193000000000008</v>
      </c>
      <c r="D425">
        <f t="shared" si="126"/>
        <v>24.275799999999997</v>
      </c>
      <c r="E425" s="1">
        <f t="shared" si="127"/>
        <v>2.8164468112259691</v>
      </c>
      <c r="U425" s="1">
        <f t="shared" si="125"/>
        <v>2.6807952784197839</v>
      </c>
    </row>
    <row r="426" spans="1:21" x14ac:dyDescent="0.25">
      <c r="A426" t="s">
        <v>6</v>
      </c>
      <c r="B426">
        <v>33.247300000000003</v>
      </c>
      <c r="C426">
        <v>8.7247800000000009</v>
      </c>
      <c r="D426">
        <f t="shared" si="126"/>
        <v>24.52252</v>
      </c>
      <c r="E426" s="1">
        <f t="shared" si="127"/>
        <v>2.8106748823466035</v>
      </c>
      <c r="U426" s="1">
        <f t="shared" si="125"/>
        <v>2.6134860877049224</v>
      </c>
    </row>
    <row r="427" spans="1:21" x14ac:dyDescent="0.25">
      <c r="A427" t="s">
        <v>7</v>
      </c>
      <c r="B427">
        <v>32.037700000000001</v>
      </c>
      <c r="C427">
        <v>8.5973500000000005</v>
      </c>
      <c r="D427">
        <f t="shared" si="126"/>
        <v>23.440350000000002</v>
      </c>
      <c r="E427" s="1">
        <f t="shared" si="127"/>
        <v>2.7264622238247833</v>
      </c>
      <c r="U427" s="1">
        <f t="shared" si="125"/>
        <v>2.4757076230709898</v>
      </c>
    </row>
    <row r="428" spans="1:21" x14ac:dyDescent="0.25">
      <c r="A428" t="s">
        <v>8</v>
      </c>
      <c r="B428">
        <v>31.561599999999999</v>
      </c>
      <c r="C428">
        <v>8.6492599999999999</v>
      </c>
      <c r="D428">
        <f t="shared" si="126"/>
        <v>22.91234</v>
      </c>
      <c r="E428" s="1">
        <f t="shared" si="127"/>
        <v>2.6490520576326761</v>
      </c>
    </row>
    <row r="429" spans="1:21" x14ac:dyDescent="0.25">
      <c r="A429" t="s">
        <v>9</v>
      </c>
      <c r="B429">
        <v>31.039300000000001</v>
      </c>
      <c r="C429">
        <v>8.4327699999999997</v>
      </c>
      <c r="D429">
        <f t="shared" si="126"/>
        <v>22.606529999999999</v>
      </c>
      <c r="E429" s="1">
        <f t="shared" si="127"/>
        <v>2.6807952784197839</v>
      </c>
    </row>
    <row r="430" spans="1:21" x14ac:dyDescent="0.25">
      <c r="A430" t="s">
        <v>10</v>
      </c>
      <c r="B430">
        <v>28.045999999999999</v>
      </c>
      <c r="C430">
        <v>7.7614799999999997</v>
      </c>
      <c r="D430">
        <f t="shared" si="126"/>
        <v>20.284520000000001</v>
      </c>
      <c r="E430" s="1">
        <f t="shared" si="127"/>
        <v>2.6134860877049224</v>
      </c>
    </row>
    <row r="431" spans="1:21" x14ac:dyDescent="0.25">
      <c r="A431" t="s">
        <v>11</v>
      </c>
      <c r="B431">
        <v>68.040800000000004</v>
      </c>
      <c r="C431">
        <v>19.5761</v>
      </c>
      <c r="D431">
        <f t="shared" si="126"/>
        <v>48.464700000000008</v>
      </c>
      <c r="E431" s="1">
        <f t="shared" si="127"/>
        <v>2.4757076230709898</v>
      </c>
    </row>
    <row r="433" spans="1:25" x14ac:dyDescent="0.25">
      <c r="A433" s="6" t="s">
        <v>41</v>
      </c>
      <c r="B433" s="6"/>
    </row>
    <row r="435" spans="1:25" x14ac:dyDescent="0.25">
      <c r="A435" t="s">
        <v>1</v>
      </c>
      <c r="B435" t="s">
        <v>12</v>
      </c>
      <c r="C435" t="s">
        <v>13</v>
      </c>
      <c r="E435" t="s">
        <v>15</v>
      </c>
      <c r="I435" t="s">
        <v>16</v>
      </c>
      <c r="J435" t="s">
        <v>17</v>
      </c>
      <c r="K435" t="s">
        <v>18</v>
      </c>
      <c r="U435" s="1">
        <f t="shared" ref="U435:U444" si="128">J436</f>
        <v>0.16137088908765176</v>
      </c>
      <c r="W435" s="2">
        <f>O449</f>
        <v>0.13215617821863782</v>
      </c>
      <c r="X435" s="2">
        <f>O450</f>
        <v>0.3417911447347734</v>
      </c>
      <c r="Y435" s="2">
        <f>O451</f>
        <v>0.19696727315264204</v>
      </c>
    </row>
    <row r="436" spans="1:25" x14ac:dyDescent="0.25">
      <c r="A436" t="s">
        <v>2</v>
      </c>
      <c r="B436">
        <v>7.9101846142257299</v>
      </c>
      <c r="C436">
        <v>6.8110753322220798</v>
      </c>
      <c r="D436">
        <f t="shared" ref="D436:D445" si="129">B436-C436</f>
        <v>1.0991092820036501</v>
      </c>
      <c r="E436" s="1">
        <f t="shared" ref="E436:E445" si="130">D436/C436</f>
        <v>0.16137088908765176</v>
      </c>
      <c r="I436" t="s">
        <v>2</v>
      </c>
      <c r="J436" s="1">
        <f t="shared" ref="J436:J445" si="131">E436</f>
        <v>0.16137088908765176</v>
      </c>
      <c r="K436" s="1">
        <f t="shared" ref="K436:K445" si="132">E449</f>
        <v>0.13924561475597066</v>
      </c>
      <c r="U436" s="1">
        <f t="shared" si="128"/>
        <v>0.13354456140402127</v>
      </c>
    </row>
    <row r="437" spans="1:25" x14ac:dyDescent="0.25">
      <c r="A437" t="s">
        <v>3</v>
      </c>
      <c r="B437">
        <v>7.8524245076939803</v>
      </c>
      <c r="C437">
        <v>6.9273187619266396</v>
      </c>
      <c r="D437">
        <f t="shared" si="129"/>
        <v>0.92510574576734061</v>
      </c>
      <c r="E437" s="1">
        <f t="shared" si="130"/>
        <v>0.13354456140402127</v>
      </c>
      <c r="I437" t="s">
        <v>3</v>
      </c>
      <c r="J437" s="1">
        <f t="shared" si="131"/>
        <v>0.13354456140402127</v>
      </c>
      <c r="K437" s="1">
        <f t="shared" si="132"/>
        <v>0.13215617821863782</v>
      </c>
      <c r="U437" s="1">
        <f t="shared" si="128"/>
        <v>0.1710501801506486</v>
      </c>
    </row>
    <row r="438" spans="1:25" x14ac:dyDescent="0.25">
      <c r="A438" t="s">
        <v>4</v>
      </c>
      <c r="B438">
        <v>8.0804105192079998</v>
      </c>
      <c r="C438">
        <v>6.90014028106678</v>
      </c>
      <c r="D438">
        <f t="shared" si="129"/>
        <v>1.1802702381412198</v>
      </c>
      <c r="E438" s="1">
        <f t="shared" si="130"/>
        <v>0.1710501801506486</v>
      </c>
      <c r="I438" t="s">
        <v>4</v>
      </c>
      <c r="J438" s="1">
        <f t="shared" si="131"/>
        <v>0.1710501801506486</v>
      </c>
      <c r="K438" s="1">
        <f t="shared" si="132"/>
        <v>0.15895203319420381</v>
      </c>
      <c r="U438" s="1">
        <f t="shared" si="128"/>
        <v>0.1791180844305684</v>
      </c>
    </row>
    <row r="439" spans="1:25" x14ac:dyDescent="0.25">
      <c r="A439" t="s">
        <v>5</v>
      </c>
      <c r="B439">
        <v>8.2539685338426807</v>
      </c>
      <c r="C439">
        <v>7.0001203805035104</v>
      </c>
      <c r="D439">
        <f t="shared" si="129"/>
        <v>1.2538481533391703</v>
      </c>
      <c r="E439" s="1">
        <f t="shared" si="130"/>
        <v>0.1791180844305684</v>
      </c>
      <c r="I439" t="s">
        <v>5</v>
      </c>
      <c r="J439" s="1">
        <f t="shared" si="131"/>
        <v>0.1791180844305684</v>
      </c>
      <c r="K439" s="1">
        <f t="shared" si="132"/>
        <v>0.13633394877897281</v>
      </c>
      <c r="U439" s="1">
        <f t="shared" si="128"/>
        <v>0.17623523667856192</v>
      </c>
    </row>
    <row r="440" spans="1:25" x14ac:dyDescent="0.25">
      <c r="A440" t="s">
        <v>6</v>
      </c>
      <c r="B440">
        <v>8.2289683605939405</v>
      </c>
      <c r="C440">
        <v>6.9960226526037399</v>
      </c>
      <c r="D440">
        <f t="shared" si="129"/>
        <v>1.2329457079902006</v>
      </c>
      <c r="E440" s="1">
        <f t="shared" si="130"/>
        <v>0.17623523667856192</v>
      </c>
      <c r="I440" t="s">
        <v>6</v>
      </c>
      <c r="J440" s="1">
        <f t="shared" si="131"/>
        <v>0.17623523667856192</v>
      </c>
      <c r="K440" s="1">
        <f t="shared" si="132"/>
        <v>0.16904707216912096</v>
      </c>
      <c r="U440" s="1">
        <f t="shared" si="128"/>
        <v>0.16369617017587268</v>
      </c>
    </row>
    <row r="441" spans="1:25" x14ac:dyDescent="0.25">
      <c r="A441" t="s">
        <v>7</v>
      </c>
      <c r="B441">
        <v>8.1655178166361999</v>
      </c>
      <c r="C441">
        <v>7.0168812323255496</v>
      </c>
      <c r="D441">
        <f t="shared" si="129"/>
        <v>1.1486365843106503</v>
      </c>
      <c r="E441" s="1">
        <f t="shared" si="130"/>
        <v>0.16369617017587268</v>
      </c>
      <c r="I441" t="s">
        <v>7</v>
      </c>
      <c r="J441" s="1">
        <f t="shared" si="131"/>
        <v>0.16369617017587268</v>
      </c>
      <c r="K441" s="1">
        <f t="shared" si="132"/>
        <v>0.16036121967927094</v>
      </c>
      <c r="U441" s="1">
        <f t="shared" si="128"/>
        <v>0.19092022790763624</v>
      </c>
    </row>
    <row r="442" spans="1:25" x14ac:dyDescent="0.25">
      <c r="A442" t="s">
        <v>8</v>
      </c>
      <c r="B442">
        <v>8.2183549835889096</v>
      </c>
      <c r="C442">
        <v>6.9008442303713204</v>
      </c>
      <c r="D442">
        <f t="shared" si="129"/>
        <v>1.3175107532175891</v>
      </c>
      <c r="E442" s="1">
        <f t="shared" si="130"/>
        <v>0.19092022790763624</v>
      </c>
      <c r="I442" t="s">
        <v>8</v>
      </c>
      <c r="J442" s="1">
        <f t="shared" si="131"/>
        <v>0.19092022790763624</v>
      </c>
      <c r="K442" s="1">
        <f t="shared" si="132"/>
        <v>0.18346461838745268</v>
      </c>
      <c r="U442" s="1">
        <f t="shared" si="128"/>
        <v>0.23423933051576443</v>
      </c>
    </row>
    <row r="443" spans="1:25" x14ac:dyDescent="0.25">
      <c r="A443" t="s">
        <v>9</v>
      </c>
      <c r="B443">
        <v>8.6665806903045102</v>
      </c>
      <c r="C443">
        <v>7.0217991567996103</v>
      </c>
      <c r="D443">
        <f t="shared" si="129"/>
        <v>1.6447815335048999</v>
      </c>
      <c r="E443" s="1">
        <f t="shared" si="130"/>
        <v>0.23423933051576443</v>
      </c>
      <c r="I443" t="s">
        <v>9</v>
      </c>
      <c r="J443" s="1">
        <f t="shared" si="131"/>
        <v>0.23423933051576443</v>
      </c>
      <c r="K443" s="1">
        <f t="shared" si="132"/>
        <v>0.2187039543465279</v>
      </c>
      <c r="U443" s="1">
        <f t="shared" si="128"/>
        <v>0.29147854320869043</v>
      </c>
    </row>
    <row r="444" spans="1:25" x14ac:dyDescent="0.25">
      <c r="A444" t="s">
        <v>10</v>
      </c>
      <c r="B444">
        <v>9.3377310061336303</v>
      </c>
      <c r="C444">
        <v>7.2302641458788397</v>
      </c>
      <c r="D444">
        <f t="shared" si="129"/>
        <v>2.1074668602547906</v>
      </c>
      <c r="E444" s="1">
        <f t="shared" si="130"/>
        <v>0.29147854320869043</v>
      </c>
      <c r="I444" t="s">
        <v>10</v>
      </c>
      <c r="J444" s="1">
        <f t="shared" si="131"/>
        <v>0.29147854320869043</v>
      </c>
      <c r="K444" s="1">
        <f t="shared" si="132"/>
        <v>0.25688850259990831</v>
      </c>
      <c r="U444" s="1">
        <f t="shared" si="128"/>
        <v>0.3417911447347734</v>
      </c>
    </row>
    <row r="445" spans="1:25" x14ac:dyDescent="0.25">
      <c r="A445" t="s">
        <v>11</v>
      </c>
      <c r="B445">
        <v>22.5432841068546</v>
      </c>
      <c r="C445">
        <v>16.800889017128402</v>
      </c>
      <c r="D445">
        <f t="shared" si="129"/>
        <v>5.7423950897261982</v>
      </c>
      <c r="E445" s="1">
        <f t="shared" si="130"/>
        <v>0.3417911447347734</v>
      </c>
      <c r="I445" t="s">
        <v>11</v>
      </c>
      <c r="J445" s="1">
        <f t="shared" si="131"/>
        <v>0.3417911447347734</v>
      </c>
      <c r="K445" s="1">
        <f t="shared" si="132"/>
        <v>0.34074795262858604</v>
      </c>
      <c r="U445" s="1">
        <f t="shared" ref="U445:U454" si="133">K436</f>
        <v>0.13924561475597066</v>
      </c>
    </row>
    <row r="446" spans="1:25" x14ac:dyDescent="0.25">
      <c r="U446" s="1">
        <f t="shared" si="133"/>
        <v>0.13215617821863782</v>
      </c>
    </row>
    <row r="447" spans="1:25" x14ac:dyDescent="0.25">
      <c r="U447" s="1">
        <f t="shared" si="133"/>
        <v>0.15895203319420381</v>
      </c>
    </row>
    <row r="448" spans="1:25" x14ac:dyDescent="0.25">
      <c r="A448" t="s">
        <v>1</v>
      </c>
      <c r="B448" t="s">
        <v>14</v>
      </c>
      <c r="C448" t="s">
        <v>13</v>
      </c>
      <c r="I448" t="s">
        <v>19</v>
      </c>
      <c r="J448" s="2">
        <f>AVERAGE(J436:J445)</f>
        <v>0.20434443682941889</v>
      </c>
      <c r="K448" s="2">
        <f>AVERAGE(K436:K445)</f>
        <v>0.18959010947586519</v>
      </c>
      <c r="U448" s="1">
        <f t="shared" si="133"/>
        <v>0.13633394877897281</v>
      </c>
    </row>
    <row r="449" spans="1:25" x14ac:dyDescent="0.25">
      <c r="A449" t="s">
        <v>2</v>
      </c>
      <c r="B449">
        <v>7.7594877040065704</v>
      </c>
      <c r="C449">
        <v>6.8110753322220798</v>
      </c>
      <c r="D449">
        <f t="shared" ref="D449:D458" si="134">B449-C449</f>
        <v>0.94841237178449056</v>
      </c>
      <c r="E449" s="1">
        <f t="shared" ref="E449:E458" si="135">D449/C449</f>
        <v>0.13924561475597066</v>
      </c>
      <c r="N449" t="s">
        <v>20</v>
      </c>
      <c r="O449" s="2">
        <f>MIN(U435:U454)</f>
        <v>0.13215617821863782</v>
      </c>
      <c r="U449" s="1">
        <f t="shared" si="133"/>
        <v>0.16904707216912096</v>
      </c>
    </row>
    <row r="450" spans="1:25" x14ac:dyDescent="0.25">
      <c r="A450" t="s">
        <v>3</v>
      </c>
      <c r="B450">
        <v>7.84280673480513</v>
      </c>
      <c r="C450">
        <v>6.9273187619266396</v>
      </c>
      <c r="D450">
        <f t="shared" si="134"/>
        <v>0.91548797287849037</v>
      </c>
      <c r="E450" s="1">
        <f t="shared" si="135"/>
        <v>0.13215617821863782</v>
      </c>
      <c r="N450" t="s">
        <v>21</v>
      </c>
      <c r="O450" s="2">
        <f>MAX(U435:U454)</f>
        <v>0.3417911447347734</v>
      </c>
      <c r="U450" s="1">
        <f t="shared" si="133"/>
        <v>0.16036121967927094</v>
      </c>
    </row>
    <row r="451" spans="1:25" x14ac:dyDescent="0.25">
      <c r="A451" t="s">
        <v>4</v>
      </c>
      <c r="B451">
        <v>7.9969316080675696</v>
      </c>
      <c r="C451">
        <v>6.90014028106678</v>
      </c>
      <c r="D451">
        <f t="shared" si="134"/>
        <v>1.0967913270007896</v>
      </c>
      <c r="E451" s="1">
        <f t="shared" si="135"/>
        <v>0.15895203319420381</v>
      </c>
      <c r="N451" t="s">
        <v>22</v>
      </c>
      <c r="O451" s="2">
        <f>AVERAGE(U435:U454)</f>
        <v>0.19696727315264204</v>
      </c>
      <c r="U451" s="1">
        <f t="shared" si="133"/>
        <v>0.18346461838745268</v>
      </c>
    </row>
    <row r="452" spans="1:25" x14ac:dyDescent="0.25">
      <c r="A452" t="s">
        <v>5</v>
      </c>
      <c r="B452">
        <v>7.9544744339057196</v>
      </c>
      <c r="C452">
        <v>7.0001203805035104</v>
      </c>
      <c r="D452">
        <f t="shared" si="134"/>
        <v>0.95435405340220925</v>
      </c>
      <c r="E452" s="1">
        <f t="shared" si="135"/>
        <v>0.13633394877897281</v>
      </c>
      <c r="U452" s="1">
        <f t="shared" si="133"/>
        <v>0.2187039543465279</v>
      </c>
    </row>
    <row r="453" spans="1:25" x14ac:dyDescent="0.25">
      <c r="A453" t="s">
        <v>6</v>
      </c>
      <c r="B453">
        <v>8.1786797988552493</v>
      </c>
      <c r="C453">
        <v>6.9960226526037399</v>
      </c>
      <c r="D453">
        <f t="shared" si="134"/>
        <v>1.1826571462515094</v>
      </c>
      <c r="E453" s="1">
        <f t="shared" si="135"/>
        <v>0.16904707216912096</v>
      </c>
      <c r="U453" s="1">
        <f t="shared" si="133"/>
        <v>0.25688850259990831</v>
      </c>
    </row>
    <row r="454" spans="1:25" x14ac:dyDescent="0.25">
      <c r="A454" t="s">
        <v>7</v>
      </c>
      <c r="B454">
        <v>8.1421168650858604</v>
      </c>
      <c r="C454">
        <v>7.0168812323255496</v>
      </c>
      <c r="D454">
        <f t="shared" si="134"/>
        <v>1.1252356327603108</v>
      </c>
      <c r="E454" s="1">
        <f t="shared" si="135"/>
        <v>0.16036121967927094</v>
      </c>
      <c r="U454" s="1">
        <f t="shared" si="133"/>
        <v>0.34074795262858604</v>
      </c>
    </row>
    <row r="455" spans="1:25" x14ac:dyDescent="0.25">
      <c r="A455" t="s">
        <v>8</v>
      </c>
      <c r="B455">
        <v>8.1669049836476493</v>
      </c>
      <c r="C455">
        <v>6.9008442303713204</v>
      </c>
      <c r="D455">
        <f t="shared" si="134"/>
        <v>1.2660607532763288</v>
      </c>
      <c r="E455" s="1">
        <f t="shared" si="135"/>
        <v>0.18346461838745268</v>
      </c>
    </row>
    <row r="456" spans="1:25" x14ac:dyDescent="0.25">
      <c r="A456" t="s">
        <v>9</v>
      </c>
      <c r="B456">
        <v>8.5574943990188004</v>
      </c>
      <c r="C456">
        <v>7.0217991567996103</v>
      </c>
      <c r="D456">
        <f t="shared" si="134"/>
        <v>1.5356952422191901</v>
      </c>
      <c r="E456" s="1">
        <f t="shared" si="135"/>
        <v>0.2187039543465279</v>
      </c>
    </row>
    <row r="457" spans="1:25" x14ac:dyDescent="0.25">
      <c r="A457" t="s">
        <v>10</v>
      </c>
      <c r="B457">
        <v>9.0876358757154598</v>
      </c>
      <c r="C457">
        <v>7.2302641458788397</v>
      </c>
      <c r="D457">
        <f t="shared" si="134"/>
        <v>1.8573717298366201</v>
      </c>
      <c r="E457" s="1">
        <f t="shared" si="135"/>
        <v>0.25688850259990831</v>
      </c>
    </row>
    <row r="458" spans="1:25" x14ac:dyDescent="0.25">
      <c r="A458" t="s">
        <v>11</v>
      </c>
      <c r="B458">
        <v>22.525757552055001</v>
      </c>
      <c r="C458">
        <v>16.800889017128402</v>
      </c>
      <c r="D458">
        <f t="shared" si="134"/>
        <v>5.7248685349265998</v>
      </c>
      <c r="E458" s="1">
        <f t="shared" si="135"/>
        <v>0.34074795262858604</v>
      </c>
    </row>
    <row r="460" spans="1:25" x14ac:dyDescent="0.25">
      <c r="A460" s="6" t="s">
        <v>42</v>
      </c>
      <c r="B460" s="6"/>
    </row>
    <row r="462" spans="1:25" x14ac:dyDescent="0.25">
      <c r="A462" t="s">
        <v>1</v>
      </c>
      <c r="B462" t="s">
        <v>12</v>
      </c>
      <c r="C462" t="s">
        <v>13</v>
      </c>
      <c r="E462" t="s">
        <v>15</v>
      </c>
      <c r="I462" t="s">
        <v>16</v>
      </c>
      <c r="J462" t="s">
        <v>17</v>
      </c>
      <c r="K462" t="s">
        <v>18</v>
      </c>
      <c r="U462" s="1">
        <f t="shared" ref="U462:U471" si="136">J463</f>
        <v>0.16405929145027542</v>
      </c>
      <c r="W462" s="2">
        <f>O476</f>
        <v>0.12798823536444653</v>
      </c>
      <c r="X462" s="2">
        <f>O477</f>
        <v>0.38520490921296491</v>
      </c>
      <c r="Y462" s="2">
        <f>O478</f>
        <v>0.20454755144014838</v>
      </c>
    </row>
    <row r="463" spans="1:25" x14ac:dyDescent="0.25">
      <c r="A463" t="s">
        <v>2</v>
      </c>
      <c r="B463">
        <v>39.964599999999997</v>
      </c>
      <c r="C463">
        <v>34.332099999999997</v>
      </c>
      <c r="D463">
        <f t="shared" ref="D463:D472" si="137">B463-C463</f>
        <v>5.6325000000000003</v>
      </c>
      <c r="E463" s="1">
        <f t="shared" ref="E463:E472" si="138">D463/C463</f>
        <v>0.16405929145027542</v>
      </c>
      <c r="I463" t="s">
        <v>2</v>
      </c>
      <c r="J463" s="1">
        <f t="shared" ref="J463:J472" si="139">E463</f>
        <v>0.16405929145027542</v>
      </c>
      <c r="K463" s="1">
        <f t="shared" ref="K463:K472" si="140">E476</f>
        <v>0.15063162463117613</v>
      </c>
      <c r="U463" s="1">
        <f t="shared" si="136"/>
        <v>0.15706538481658663</v>
      </c>
    </row>
    <row r="464" spans="1:25" x14ac:dyDescent="0.25">
      <c r="A464" t="s">
        <v>3</v>
      </c>
      <c r="B464">
        <v>39.813000000000002</v>
      </c>
      <c r="C464">
        <v>34.4086</v>
      </c>
      <c r="D464">
        <f t="shared" si="137"/>
        <v>5.4044000000000025</v>
      </c>
      <c r="E464" s="1">
        <f t="shared" si="138"/>
        <v>0.15706538481658663</v>
      </c>
      <c r="I464" t="s">
        <v>3</v>
      </c>
      <c r="J464" s="1">
        <f t="shared" si="139"/>
        <v>0.15706538481658663</v>
      </c>
      <c r="K464" s="1">
        <f t="shared" si="140"/>
        <v>0.1630086664380416</v>
      </c>
      <c r="U464" s="1">
        <f t="shared" si="136"/>
        <v>0.23250799790777157</v>
      </c>
    </row>
    <row r="465" spans="1:21" x14ac:dyDescent="0.25">
      <c r="A465" t="s">
        <v>4</v>
      </c>
      <c r="B465">
        <v>40.529299999999999</v>
      </c>
      <c r="C465">
        <v>32.883600000000001</v>
      </c>
      <c r="D465">
        <f t="shared" si="137"/>
        <v>7.6456999999999979</v>
      </c>
      <c r="E465" s="1">
        <f t="shared" si="138"/>
        <v>0.23250799790777157</v>
      </c>
      <c r="I465" t="s">
        <v>4</v>
      </c>
      <c r="J465" s="1">
        <f t="shared" si="139"/>
        <v>0.23250799790777157</v>
      </c>
      <c r="K465" s="1">
        <f t="shared" si="140"/>
        <v>0.17808573270566475</v>
      </c>
      <c r="U465" s="1">
        <f t="shared" si="136"/>
        <v>0.20021273089541711</v>
      </c>
    </row>
    <row r="466" spans="1:21" x14ac:dyDescent="0.25">
      <c r="A466" t="s">
        <v>5</v>
      </c>
      <c r="B466">
        <v>40.057699999999997</v>
      </c>
      <c r="C466">
        <v>33.375500000000002</v>
      </c>
      <c r="D466">
        <f t="shared" si="137"/>
        <v>6.6821999999999946</v>
      </c>
      <c r="E466" s="1">
        <f t="shared" si="138"/>
        <v>0.20021273089541711</v>
      </c>
      <c r="I466" t="s">
        <v>5</v>
      </c>
      <c r="J466" s="1">
        <f t="shared" si="139"/>
        <v>0.20021273089541711</v>
      </c>
      <c r="K466" s="1">
        <f t="shared" si="140"/>
        <v>0.23295531153091334</v>
      </c>
      <c r="U466" s="1">
        <f t="shared" si="136"/>
        <v>0.17781802841996888</v>
      </c>
    </row>
    <row r="467" spans="1:21" x14ac:dyDescent="0.25">
      <c r="A467" t="s">
        <v>6</v>
      </c>
      <c r="B467">
        <v>39.926499999999997</v>
      </c>
      <c r="C467">
        <v>33.898699999999998</v>
      </c>
      <c r="D467">
        <f t="shared" si="137"/>
        <v>6.0277999999999992</v>
      </c>
      <c r="E467" s="1">
        <f t="shared" si="138"/>
        <v>0.17781802841996888</v>
      </c>
      <c r="I467" t="s">
        <v>6</v>
      </c>
      <c r="J467" s="1">
        <f t="shared" si="139"/>
        <v>0.17781802841996888</v>
      </c>
      <c r="K467" s="1">
        <f t="shared" si="140"/>
        <v>0.18339641343178362</v>
      </c>
      <c r="U467" s="1">
        <f t="shared" si="136"/>
        <v>0.14730102257198049</v>
      </c>
    </row>
    <row r="468" spans="1:21" x14ac:dyDescent="0.25">
      <c r="A468" t="s">
        <v>7</v>
      </c>
      <c r="B468">
        <v>38.954999999999998</v>
      </c>
      <c r="C468">
        <v>33.953600000000002</v>
      </c>
      <c r="D468">
        <f t="shared" si="137"/>
        <v>5.0013999999999967</v>
      </c>
      <c r="E468" s="1">
        <f t="shared" si="138"/>
        <v>0.14730102257198049</v>
      </c>
      <c r="I468" t="s">
        <v>7</v>
      </c>
      <c r="J468" s="1">
        <f t="shared" si="139"/>
        <v>0.14730102257198049</v>
      </c>
      <c r="K468" s="1">
        <f t="shared" si="140"/>
        <v>0.17497997266858284</v>
      </c>
      <c r="U468" s="1">
        <f t="shared" si="136"/>
        <v>0.12798823536444653</v>
      </c>
    </row>
    <row r="469" spans="1:21" x14ac:dyDescent="0.25">
      <c r="A469" t="s">
        <v>8</v>
      </c>
      <c r="B469">
        <v>37.738199999999999</v>
      </c>
      <c r="C469">
        <v>33.456200000000003</v>
      </c>
      <c r="D469">
        <f t="shared" si="137"/>
        <v>4.2819999999999965</v>
      </c>
      <c r="E469" s="1">
        <f t="shared" si="138"/>
        <v>0.12798823536444653</v>
      </c>
      <c r="I469" t="s">
        <v>8</v>
      </c>
      <c r="J469" s="1">
        <f t="shared" si="139"/>
        <v>0.12798823536444653</v>
      </c>
      <c r="K469" s="1">
        <f t="shared" si="140"/>
        <v>0.17574918849122131</v>
      </c>
      <c r="U469" s="1">
        <f t="shared" si="136"/>
        <v>0.19525681947849682</v>
      </c>
    </row>
    <row r="470" spans="1:21" x14ac:dyDescent="0.25">
      <c r="A470" t="s">
        <v>9</v>
      </c>
      <c r="B470">
        <v>38.756799999999998</v>
      </c>
      <c r="C470">
        <v>32.4255</v>
      </c>
      <c r="D470">
        <f t="shared" si="137"/>
        <v>6.3312999999999988</v>
      </c>
      <c r="E470" s="1">
        <f t="shared" si="138"/>
        <v>0.19525681947849682</v>
      </c>
      <c r="I470" t="s">
        <v>9</v>
      </c>
      <c r="J470" s="1">
        <f t="shared" si="139"/>
        <v>0.19525681947849682</v>
      </c>
      <c r="K470" s="1">
        <f t="shared" si="140"/>
        <v>0.24247891320102996</v>
      </c>
      <c r="U470" s="1">
        <f t="shared" si="136"/>
        <v>0.38520490921296491</v>
      </c>
    </row>
    <row r="471" spans="1:21" x14ac:dyDescent="0.25">
      <c r="A471" t="s">
        <v>10</v>
      </c>
      <c r="B471">
        <v>43.125999999999998</v>
      </c>
      <c r="C471">
        <v>31.133299999999998</v>
      </c>
      <c r="D471">
        <f t="shared" si="137"/>
        <v>11.992699999999999</v>
      </c>
      <c r="E471" s="1">
        <f t="shared" si="138"/>
        <v>0.38520490921296491</v>
      </c>
      <c r="I471" t="s">
        <v>10</v>
      </c>
      <c r="J471" s="1">
        <f t="shared" si="139"/>
        <v>0.38520490921296491</v>
      </c>
      <c r="K471" s="1">
        <f t="shared" si="140"/>
        <v>0.30150353480035852</v>
      </c>
      <c r="U471" s="1">
        <f t="shared" si="136"/>
        <v>0.25047400236443529</v>
      </c>
    </row>
    <row r="472" spans="1:21" x14ac:dyDescent="0.25">
      <c r="A472" t="s">
        <v>11</v>
      </c>
      <c r="B472">
        <v>112.12</v>
      </c>
      <c r="C472">
        <v>89.662000000000006</v>
      </c>
      <c r="D472">
        <f t="shared" si="137"/>
        <v>22.457999999999998</v>
      </c>
      <c r="E472" s="1">
        <f t="shared" si="138"/>
        <v>0.25047400236443529</v>
      </c>
      <c r="I472" t="s">
        <v>11</v>
      </c>
      <c r="J472" s="1">
        <f t="shared" si="139"/>
        <v>0.25047400236443529</v>
      </c>
      <c r="K472" s="1">
        <f t="shared" si="140"/>
        <v>0.25027324842185089</v>
      </c>
      <c r="U472" s="1">
        <f t="shared" ref="U472:U481" si="141">K463</f>
        <v>0.15063162463117613</v>
      </c>
    </row>
    <row r="473" spans="1:21" x14ac:dyDescent="0.25">
      <c r="U473" s="1">
        <f t="shared" si="141"/>
        <v>0.1630086664380416</v>
      </c>
    </row>
    <row r="474" spans="1:21" x14ac:dyDescent="0.25">
      <c r="U474" s="1">
        <f t="shared" si="141"/>
        <v>0.17808573270566475</v>
      </c>
    </row>
    <row r="475" spans="1:21" x14ac:dyDescent="0.25">
      <c r="A475" t="s">
        <v>1</v>
      </c>
      <c r="B475" t="s">
        <v>14</v>
      </c>
      <c r="C475" t="s">
        <v>13</v>
      </c>
      <c r="I475" t="s">
        <v>19</v>
      </c>
      <c r="J475" s="2">
        <f>AVERAGE(J463:J472)</f>
        <v>0.20378884224823435</v>
      </c>
      <c r="K475" s="2">
        <f>AVERAGE(K463:K472)</f>
        <v>0.20530626063206228</v>
      </c>
      <c r="U475" s="1">
        <f t="shared" si="141"/>
        <v>0.23295531153091334</v>
      </c>
    </row>
    <row r="476" spans="1:21" x14ac:dyDescent="0.25">
      <c r="A476" t="s">
        <v>2</v>
      </c>
      <c r="B476">
        <v>39.503599999999999</v>
      </c>
      <c r="C476">
        <v>34.332099999999997</v>
      </c>
      <c r="D476">
        <f t="shared" ref="D476:D485" si="142">B476-C476</f>
        <v>5.1715000000000018</v>
      </c>
      <c r="E476" s="1">
        <f t="shared" ref="E476:E485" si="143">D476/C476</f>
        <v>0.15063162463117613</v>
      </c>
      <c r="N476" t="s">
        <v>20</v>
      </c>
      <c r="O476" s="2">
        <f>MIN(U462:U481)</f>
        <v>0.12798823536444653</v>
      </c>
      <c r="U476" s="1">
        <f t="shared" si="141"/>
        <v>0.18339641343178362</v>
      </c>
    </row>
    <row r="477" spans="1:21" x14ac:dyDescent="0.25">
      <c r="A477" t="s">
        <v>3</v>
      </c>
      <c r="B477">
        <v>40.017499999999998</v>
      </c>
      <c r="C477">
        <v>34.4086</v>
      </c>
      <c r="D477">
        <f t="shared" si="142"/>
        <v>5.6088999999999984</v>
      </c>
      <c r="E477" s="1">
        <f t="shared" si="143"/>
        <v>0.1630086664380416</v>
      </c>
      <c r="N477" t="s">
        <v>21</v>
      </c>
      <c r="O477" s="2">
        <f>MAX(U462:U481)</f>
        <v>0.38520490921296491</v>
      </c>
      <c r="U477" s="1">
        <f t="shared" si="141"/>
        <v>0.17497997266858284</v>
      </c>
    </row>
    <row r="478" spans="1:21" x14ac:dyDescent="0.25">
      <c r="A478" t="s">
        <v>4</v>
      </c>
      <c r="B478">
        <v>38.739699999999999</v>
      </c>
      <c r="C478">
        <v>32.883600000000001</v>
      </c>
      <c r="D478">
        <f t="shared" si="142"/>
        <v>5.8560999999999979</v>
      </c>
      <c r="E478" s="1">
        <f t="shared" si="143"/>
        <v>0.17808573270566475</v>
      </c>
      <c r="N478" t="s">
        <v>22</v>
      </c>
      <c r="O478" s="2">
        <f>AVERAGE(U462:U481)</f>
        <v>0.20454755144014838</v>
      </c>
      <c r="U478" s="1">
        <f t="shared" si="141"/>
        <v>0.17574918849122131</v>
      </c>
    </row>
    <row r="479" spans="1:21" x14ac:dyDescent="0.25">
      <c r="A479" t="s">
        <v>5</v>
      </c>
      <c r="B479">
        <v>41.150500000000001</v>
      </c>
      <c r="C479">
        <v>33.375500000000002</v>
      </c>
      <c r="D479">
        <f t="shared" si="142"/>
        <v>7.7749999999999986</v>
      </c>
      <c r="E479" s="1">
        <f t="shared" si="143"/>
        <v>0.23295531153091334</v>
      </c>
      <c r="U479" s="1">
        <f t="shared" si="141"/>
        <v>0.24247891320102996</v>
      </c>
    </row>
    <row r="480" spans="1:21" x14ac:dyDescent="0.25">
      <c r="A480" t="s">
        <v>6</v>
      </c>
      <c r="B480">
        <v>40.115600000000001</v>
      </c>
      <c r="C480">
        <v>33.898699999999998</v>
      </c>
      <c r="D480">
        <f t="shared" si="142"/>
        <v>6.2169000000000025</v>
      </c>
      <c r="E480" s="1">
        <f t="shared" si="143"/>
        <v>0.18339641343178362</v>
      </c>
      <c r="U480" s="1">
        <f t="shared" si="141"/>
        <v>0.30150353480035852</v>
      </c>
    </row>
    <row r="481" spans="1:25" x14ac:dyDescent="0.25">
      <c r="A481" t="s">
        <v>7</v>
      </c>
      <c r="B481">
        <v>39.894799999999996</v>
      </c>
      <c r="C481">
        <v>33.953600000000002</v>
      </c>
      <c r="D481">
        <f t="shared" si="142"/>
        <v>5.9411999999999949</v>
      </c>
      <c r="E481" s="1">
        <f t="shared" si="143"/>
        <v>0.17497997266858284</v>
      </c>
      <c r="U481" s="1">
        <f t="shared" si="141"/>
        <v>0.25027324842185089</v>
      </c>
    </row>
    <row r="482" spans="1:25" x14ac:dyDescent="0.25">
      <c r="A482" t="s">
        <v>8</v>
      </c>
      <c r="B482">
        <v>39.336100000000002</v>
      </c>
      <c r="C482">
        <v>33.456200000000003</v>
      </c>
      <c r="D482">
        <f t="shared" si="142"/>
        <v>5.8798999999999992</v>
      </c>
      <c r="E482" s="1">
        <f t="shared" si="143"/>
        <v>0.17574918849122131</v>
      </c>
    </row>
    <row r="483" spans="1:25" x14ac:dyDescent="0.25">
      <c r="A483" t="s">
        <v>9</v>
      </c>
      <c r="B483">
        <v>40.287999999999997</v>
      </c>
      <c r="C483">
        <v>32.4255</v>
      </c>
      <c r="D483">
        <f t="shared" si="142"/>
        <v>7.8624999999999972</v>
      </c>
      <c r="E483" s="1">
        <f t="shared" si="143"/>
        <v>0.24247891320102996</v>
      </c>
    </row>
    <row r="484" spans="1:25" x14ac:dyDescent="0.25">
      <c r="A484" t="s">
        <v>10</v>
      </c>
      <c r="B484">
        <v>40.520099999999999</v>
      </c>
      <c r="C484">
        <v>31.133299999999998</v>
      </c>
      <c r="D484">
        <f t="shared" si="142"/>
        <v>9.3868000000000009</v>
      </c>
      <c r="E484" s="1">
        <f t="shared" si="143"/>
        <v>0.30150353480035852</v>
      </c>
    </row>
    <row r="485" spans="1:25" x14ac:dyDescent="0.25">
      <c r="A485" t="s">
        <v>11</v>
      </c>
      <c r="B485">
        <v>112.102</v>
      </c>
      <c r="C485">
        <v>89.662000000000006</v>
      </c>
      <c r="D485">
        <f t="shared" si="142"/>
        <v>22.439999999999998</v>
      </c>
      <c r="E485" s="1">
        <f t="shared" si="143"/>
        <v>0.25027324842185089</v>
      </c>
    </row>
    <row r="487" spans="1:25" x14ac:dyDescent="0.25">
      <c r="A487" s="6" t="s">
        <v>43</v>
      </c>
      <c r="B487" s="6"/>
    </row>
    <row r="489" spans="1:25" x14ac:dyDescent="0.25">
      <c r="A489" t="s">
        <v>1</v>
      </c>
      <c r="B489" t="s">
        <v>12</v>
      </c>
      <c r="C489" t="s">
        <v>13</v>
      </c>
      <c r="E489" t="s">
        <v>15</v>
      </c>
      <c r="I489" t="s">
        <v>16</v>
      </c>
      <c r="J489" t="s">
        <v>17</v>
      </c>
      <c r="K489" t="s">
        <v>18</v>
      </c>
      <c r="U489" s="1">
        <f t="shared" ref="U489:U498" si="144">J490</f>
        <v>2.7076207053867714E-2</v>
      </c>
      <c r="W489" s="2">
        <f>O503</f>
        <v>2.7076207053867714E-2</v>
      </c>
      <c r="X489" s="2">
        <f>O504</f>
        <v>0.29275041152825931</v>
      </c>
      <c r="Y489" s="2">
        <f>O505</f>
        <v>0.12680040635357553</v>
      </c>
    </row>
    <row r="490" spans="1:25" x14ac:dyDescent="0.25">
      <c r="A490" t="s">
        <v>2</v>
      </c>
      <c r="B490">
        <v>8.0651287129286704</v>
      </c>
      <c r="C490">
        <v>7.8525124596773699</v>
      </c>
      <c r="D490">
        <f t="shared" ref="D490:D499" si="145">B490-C490</f>
        <v>0.21261625325130051</v>
      </c>
      <c r="E490" s="1">
        <f t="shared" ref="E490:E499" si="146">D490/C490</f>
        <v>2.7076207053867714E-2</v>
      </c>
      <c r="I490" t="s">
        <v>2</v>
      </c>
      <c r="J490" s="1">
        <f t="shared" ref="J490:J499" si="147">E490</f>
        <v>2.7076207053867714E-2</v>
      </c>
      <c r="K490" s="1">
        <f t="shared" ref="K490:K499" si="148">E503</f>
        <v>4.2897669598774453E-2</v>
      </c>
      <c r="U490" s="1">
        <f t="shared" si="144"/>
        <v>4.5072685754314855E-2</v>
      </c>
    </row>
    <row r="491" spans="1:25" x14ac:dyDescent="0.25">
      <c r="A491" t="s">
        <v>3</v>
      </c>
      <c r="B491">
        <v>8.4251550836194902</v>
      </c>
      <c r="C491">
        <v>8.0617886185958092</v>
      </c>
      <c r="D491">
        <f t="shared" si="145"/>
        <v>0.36336646502368097</v>
      </c>
      <c r="E491" s="1">
        <f t="shared" si="146"/>
        <v>4.5072685754314855E-2</v>
      </c>
      <c r="I491" t="s">
        <v>3</v>
      </c>
      <c r="J491" s="1">
        <f t="shared" si="147"/>
        <v>4.5072685754314855E-2</v>
      </c>
      <c r="K491" s="1">
        <f t="shared" si="148"/>
        <v>5.4437909870218307E-2</v>
      </c>
      <c r="U491" s="1">
        <f t="shared" si="144"/>
        <v>6.9053762380143671E-2</v>
      </c>
    </row>
    <row r="492" spans="1:25" x14ac:dyDescent="0.25">
      <c r="A492" t="s">
        <v>4</v>
      </c>
      <c r="B492">
        <v>8.58450293671679</v>
      </c>
      <c r="C492">
        <v>8.0300011456900293</v>
      </c>
      <c r="D492">
        <f t="shared" si="145"/>
        <v>0.55450179102676067</v>
      </c>
      <c r="E492" s="1">
        <f t="shared" si="146"/>
        <v>6.9053762380143671E-2</v>
      </c>
      <c r="I492" t="s">
        <v>4</v>
      </c>
      <c r="J492" s="1">
        <f t="shared" si="147"/>
        <v>6.9053762380143671E-2</v>
      </c>
      <c r="K492" s="1">
        <f t="shared" si="148"/>
        <v>8.6203919765439438E-2</v>
      </c>
      <c r="U492" s="1">
        <f t="shared" si="144"/>
        <v>6.2746897082941469E-2</v>
      </c>
    </row>
    <row r="493" spans="1:25" x14ac:dyDescent="0.25">
      <c r="A493" t="s">
        <v>5</v>
      </c>
      <c r="B493">
        <v>8.64502280158767</v>
      </c>
      <c r="C493">
        <v>8.1346017808349096</v>
      </c>
      <c r="D493">
        <f t="shared" si="145"/>
        <v>0.51042102075276041</v>
      </c>
      <c r="E493" s="1">
        <f t="shared" si="146"/>
        <v>6.2746897082941469E-2</v>
      </c>
      <c r="I493" t="s">
        <v>5</v>
      </c>
      <c r="J493" s="1">
        <f t="shared" si="147"/>
        <v>6.2746897082941469E-2</v>
      </c>
      <c r="K493" s="1">
        <f t="shared" si="148"/>
        <v>8.9837627435895726E-2</v>
      </c>
      <c r="U493" s="1">
        <f t="shared" si="144"/>
        <v>8.7351824856749444E-2</v>
      </c>
    </row>
    <row r="494" spans="1:25" x14ac:dyDescent="0.25">
      <c r="A494" t="s">
        <v>6</v>
      </c>
      <c r="B494">
        <v>8.8847304383891501</v>
      </c>
      <c r="C494">
        <v>8.1709803904174692</v>
      </c>
      <c r="D494">
        <f t="shared" si="145"/>
        <v>0.71375004797168096</v>
      </c>
      <c r="E494" s="1">
        <f t="shared" si="146"/>
        <v>8.7351824856749444E-2</v>
      </c>
      <c r="I494" t="s">
        <v>6</v>
      </c>
      <c r="J494" s="1">
        <f t="shared" si="147"/>
        <v>8.7351824856749444E-2</v>
      </c>
      <c r="K494" s="1">
        <f t="shared" si="148"/>
        <v>0.10127564545530519</v>
      </c>
      <c r="U494" s="1">
        <f t="shared" si="144"/>
        <v>8.892201873376232E-2</v>
      </c>
    </row>
    <row r="495" spans="1:25" x14ac:dyDescent="0.25">
      <c r="A495" t="s">
        <v>7</v>
      </c>
      <c r="B495">
        <v>8.9752749748026304</v>
      </c>
      <c r="C495">
        <v>8.2423486901655298</v>
      </c>
      <c r="D495">
        <f t="shared" si="145"/>
        <v>0.73292628463710052</v>
      </c>
      <c r="E495" s="1">
        <f t="shared" si="146"/>
        <v>8.892201873376232E-2</v>
      </c>
      <c r="I495" t="s">
        <v>7</v>
      </c>
      <c r="J495" s="1">
        <f t="shared" si="147"/>
        <v>8.892201873376232E-2</v>
      </c>
      <c r="K495" s="1">
        <f t="shared" si="148"/>
        <v>8.7917516688535868E-2</v>
      </c>
      <c r="U495" s="1">
        <f t="shared" si="144"/>
        <v>0.1059543331582767</v>
      </c>
    </row>
    <row r="496" spans="1:25" x14ac:dyDescent="0.25">
      <c r="A496" t="s">
        <v>8</v>
      </c>
      <c r="B496">
        <v>9.1206208344111008</v>
      </c>
      <c r="C496">
        <v>8.2468331295066406</v>
      </c>
      <c r="D496">
        <f t="shared" si="145"/>
        <v>0.87378770490446023</v>
      </c>
      <c r="E496" s="1">
        <f t="shared" si="146"/>
        <v>0.1059543331582767</v>
      </c>
      <c r="I496" t="s">
        <v>8</v>
      </c>
      <c r="J496" s="1">
        <f t="shared" si="147"/>
        <v>0.1059543331582767</v>
      </c>
      <c r="K496" s="1">
        <f t="shared" si="148"/>
        <v>0.10820149755359861</v>
      </c>
      <c r="U496" s="1">
        <f t="shared" si="144"/>
        <v>0.15939171310863504</v>
      </c>
    </row>
    <row r="497" spans="1:21" x14ac:dyDescent="0.25">
      <c r="A497" t="s">
        <v>9</v>
      </c>
      <c r="B497">
        <v>9.8875172291843292</v>
      </c>
      <c r="C497">
        <v>8.5281938083491102</v>
      </c>
      <c r="D497">
        <f t="shared" si="145"/>
        <v>1.359323420835219</v>
      </c>
      <c r="E497" s="1">
        <f t="shared" si="146"/>
        <v>0.15939171310863504</v>
      </c>
      <c r="I497" t="s">
        <v>9</v>
      </c>
      <c r="J497" s="1">
        <f t="shared" si="147"/>
        <v>0.15939171310863504</v>
      </c>
      <c r="K497" s="1">
        <f t="shared" si="148"/>
        <v>0.16892273350092557</v>
      </c>
      <c r="U497" s="1">
        <f t="shared" si="144"/>
        <v>0.29275041152825931</v>
      </c>
    </row>
    <row r="498" spans="1:21" x14ac:dyDescent="0.25">
      <c r="A498" t="s">
        <v>10</v>
      </c>
      <c r="B498">
        <v>11.63995671721</v>
      </c>
      <c r="C498">
        <v>9.0040247625599399</v>
      </c>
      <c r="D498">
        <f t="shared" si="145"/>
        <v>2.6359319546500597</v>
      </c>
      <c r="E498" s="1">
        <f t="shared" si="146"/>
        <v>0.29275041152825931</v>
      </c>
      <c r="I498" t="s">
        <v>10</v>
      </c>
      <c r="J498" s="1">
        <f t="shared" si="147"/>
        <v>0.29275041152825931</v>
      </c>
      <c r="K498" s="1">
        <f t="shared" si="148"/>
        <v>0.29080190836014813</v>
      </c>
      <c r="U498" s="1">
        <f t="shared" si="144"/>
        <v>0.27888731138096179</v>
      </c>
    </row>
    <row r="499" spans="1:21" x14ac:dyDescent="0.25">
      <c r="A499" t="s">
        <v>11</v>
      </c>
      <c r="B499">
        <v>32.266271072559498</v>
      </c>
      <c r="C499">
        <v>25.2299563733398</v>
      </c>
      <c r="D499">
        <f t="shared" si="145"/>
        <v>7.0363146992196981</v>
      </c>
      <c r="E499" s="1">
        <f t="shared" si="146"/>
        <v>0.27888731138096179</v>
      </c>
      <c r="I499" t="s">
        <v>11</v>
      </c>
      <c r="J499" s="1">
        <f t="shared" si="147"/>
        <v>0.27888731138096179</v>
      </c>
      <c r="K499" s="1">
        <f t="shared" si="148"/>
        <v>0.28830453380475746</v>
      </c>
      <c r="U499" s="1">
        <f t="shared" ref="U499:U508" si="149">K490</f>
        <v>4.2897669598774453E-2</v>
      </c>
    </row>
    <row r="500" spans="1:21" x14ac:dyDescent="0.25">
      <c r="U500" s="1">
        <f t="shared" si="149"/>
        <v>5.4437909870218307E-2</v>
      </c>
    </row>
    <row r="501" spans="1:21" x14ac:dyDescent="0.25">
      <c r="U501" s="1">
        <f t="shared" si="149"/>
        <v>8.6203919765439438E-2</v>
      </c>
    </row>
    <row r="502" spans="1:21" x14ac:dyDescent="0.25">
      <c r="A502" t="s">
        <v>1</v>
      </c>
      <c r="B502" t="s">
        <v>14</v>
      </c>
      <c r="C502" t="s">
        <v>13</v>
      </c>
      <c r="I502" t="s">
        <v>19</v>
      </c>
      <c r="J502" s="2">
        <f>AVERAGE(J490:J499)</f>
        <v>0.12172071650379124</v>
      </c>
      <c r="K502" s="2">
        <f>AVERAGE(K490:K499)</f>
        <v>0.13188009620335989</v>
      </c>
      <c r="U502" s="1">
        <f t="shared" si="149"/>
        <v>8.9837627435895726E-2</v>
      </c>
    </row>
    <row r="503" spans="1:21" x14ac:dyDescent="0.25">
      <c r="A503" t="s">
        <v>2</v>
      </c>
      <c r="B503">
        <v>8.1893669446928694</v>
      </c>
      <c r="C503">
        <v>7.8525124596773699</v>
      </c>
      <c r="D503">
        <f t="shared" ref="D503:D512" si="150">B503-C503</f>
        <v>0.33685448501549953</v>
      </c>
      <c r="E503" s="1">
        <f t="shared" ref="E503:E512" si="151">D503/C503</f>
        <v>4.2897669598774453E-2</v>
      </c>
      <c r="N503" t="s">
        <v>20</v>
      </c>
      <c r="O503" s="2">
        <f>MIN(U489:U508)</f>
        <v>2.7076207053867714E-2</v>
      </c>
      <c r="U503" s="1">
        <f t="shared" si="149"/>
        <v>0.10127564545530519</v>
      </c>
    </row>
    <row r="504" spans="1:21" x14ac:dyDescent="0.25">
      <c r="A504" t="s">
        <v>3</v>
      </c>
      <c r="B504">
        <v>8.5006555408076796</v>
      </c>
      <c r="C504">
        <v>8.0617886185958092</v>
      </c>
      <c r="D504">
        <f t="shared" si="150"/>
        <v>0.4388669222118704</v>
      </c>
      <c r="E504" s="1">
        <f t="shared" si="151"/>
        <v>5.4437909870218307E-2</v>
      </c>
      <c r="N504" t="s">
        <v>21</v>
      </c>
      <c r="O504" s="2">
        <f>MAX(U489:U508)</f>
        <v>0.29275041152825931</v>
      </c>
      <c r="U504" s="1">
        <f t="shared" si="149"/>
        <v>8.7917516688535868E-2</v>
      </c>
    </row>
    <row r="505" spans="1:21" x14ac:dyDescent="0.25">
      <c r="A505" t="s">
        <v>4</v>
      </c>
      <c r="B505">
        <v>8.7222187201694794</v>
      </c>
      <c r="C505">
        <v>8.0300011456900293</v>
      </c>
      <c r="D505">
        <f t="shared" si="150"/>
        <v>0.69221757447945009</v>
      </c>
      <c r="E505" s="1">
        <f t="shared" si="151"/>
        <v>8.6203919765439438E-2</v>
      </c>
      <c r="N505" t="s">
        <v>22</v>
      </c>
      <c r="O505" s="2">
        <f>AVERAGE(U489:U508)</f>
        <v>0.12680040635357553</v>
      </c>
      <c r="U505" s="1">
        <f t="shared" si="149"/>
        <v>0.10820149755359861</v>
      </c>
    </row>
    <row r="506" spans="1:21" x14ac:dyDescent="0.25">
      <c r="A506" t="s">
        <v>5</v>
      </c>
      <c r="B506">
        <v>8.8653951049609301</v>
      </c>
      <c r="C506">
        <v>8.1346017808349096</v>
      </c>
      <c r="D506">
        <f t="shared" si="150"/>
        <v>0.73079332412602049</v>
      </c>
      <c r="E506" s="1">
        <f t="shared" si="151"/>
        <v>8.9837627435895726E-2</v>
      </c>
      <c r="U506" s="1">
        <f t="shared" si="149"/>
        <v>0.16892273350092557</v>
      </c>
    </row>
    <row r="507" spans="1:21" x14ac:dyDescent="0.25">
      <c r="A507" t="s">
        <v>6</v>
      </c>
      <c r="B507">
        <v>8.99850170345964</v>
      </c>
      <c r="C507">
        <v>8.1709803904174692</v>
      </c>
      <c r="D507">
        <f t="shared" si="150"/>
        <v>0.8275213130421708</v>
      </c>
      <c r="E507" s="1">
        <f t="shared" si="151"/>
        <v>0.10127564545530519</v>
      </c>
      <c r="U507" s="1">
        <f t="shared" si="149"/>
        <v>0.29080190836014813</v>
      </c>
    </row>
    <row r="508" spans="1:21" x14ac:dyDescent="0.25">
      <c r="A508" t="s">
        <v>7</v>
      </c>
      <c r="B508">
        <v>8.9669955186858896</v>
      </c>
      <c r="C508">
        <v>8.2423486901655298</v>
      </c>
      <c r="D508">
        <f t="shared" si="150"/>
        <v>0.72464682852035978</v>
      </c>
      <c r="E508" s="1">
        <f t="shared" si="151"/>
        <v>8.7917516688535868E-2</v>
      </c>
      <c r="U508" s="1">
        <f t="shared" si="149"/>
        <v>0.28830453380475746</v>
      </c>
    </row>
    <row r="509" spans="1:21" x14ac:dyDescent="0.25">
      <c r="A509" t="s">
        <v>8</v>
      </c>
      <c r="B509">
        <v>9.1391528241938893</v>
      </c>
      <c r="C509">
        <v>8.2468331295066406</v>
      </c>
      <c r="D509">
        <f t="shared" si="150"/>
        <v>0.8923196946872487</v>
      </c>
      <c r="E509" s="1">
        <f t="shared" si="151"/>
        <v>0.10820149755359861</v>
      </c>
    </row>
    <row r="510" spans="1:21" x14ac:dyDescent="0.25">
      <c r="A510" t="s">
        <v>9</v>
      </c>
      <c r="B510">
        <v>9.9687996182811105</v>
      </c>
      <c r="C510">
        <v>8.5281938083491102</v>
      </c>
      <c r="D510">
        <f t="shared" si="150"/>
        <v>1.4406058099320003</v>
      </c>
      <c r="E510" s="1">
        <f t="shared" si="151"/>
        <v>0.16892273350092557</v>
      </c>
    </row>
    <row r="511" spans="1:21" x14ac:dyDescent="0.25">
      <c r="A511" t="s">
        <v>10</v>
      </c>
      <c r="B511">
        <v>11.6224123464344</v>
      </c>
      <c r="C511">
        <v>9.0040247625599399</v>
      </c>
      <c r="D511">
        <f t="shared" si="150"/>
        <v>2.6183875838744601</v>
      </c>
      <c r="E511" s="1">
        <f t="shared" si="151"/>
        <v>0.29080190836014813</v>
      </c>
    </row>
    <row r="512" spans="1:21" x14ac:dyDescent="0.25">
      <c r="A512" t="s">
        <v>11</v>
      </c>
      <c r="B512">
        <v>32.5038671834699</v>
      </c>
      <c r="C512">
        <v>25.2299563733398</v>
      </c>
      <c r="D512">
        <f t="shared" si="150"/>
        <v>7.2739108101301007</v>
      </c>
      <c r="E512" s="1">
        <f t="shared" si="151"/>
        <v>0.28830453380475746</v>
      </c>
    </row>
    <row r="514" spans="1:25" x14ac:dyDescent="0.25">
      <c r="A514" s="6" t="s">
        <v>44</v>
      </c>
      <c r="B514" s="6"/>
    </row>
    <row r="516" spans="1:25" x14ac:dyDescent="0.25">
      <c r="A516" t="s">
        <v>1</v>
      </c>
      <c r="B516" t="s">
        <v>12</v>
      </c>
      <c r="C516" t="s">
        <v>13</v>
      </c>
      <c r="E516" t="s">
        <v>15</v>
      </c>
      <c r="I516" t="s">
        <v>16</v>
      </c>
      <c r="J516" t="s">
        <v>17</v>
      </c>
      <c r="K516" t="s">
        <v>18</v>
      </c>
      <c r="U516" s="1">
        <f t="shared" ref="U516:U525" si="152">J517</f>
        <v>0.16663021266224634</v>
      </c>
      <c r="W516" s="2">
        <f>O530</f>
        <v>2.2702440208813814E-2</v>
      </c>
      <c r="X516" s="2">
        <f>O531</f>
        <v>0.5907498061407509</v>
      </c>
      <c r="Y516" s="2">
        <f>O532</f>
        <v>0.18604108312378925</v>
      </c>
    </row>
    <row r="517" spans="1:25" x14ac:dyDescent="0.25">
      <c r="A517" t="s">
        <v>2</v>
      </c>
      <c r="B517">
        <v>37.336599999999997</v>
      </c>
      <c r="C517">
        <v>32.003799999999998</v>
      </c>
      <c r="D517">
        <f t="shared" ref="D517:D526" si="153">B517-C517</f>
        <v>5.3327999999999989</v>
      </c>
      <c r="E517" s="1">
        <f t="shared" ref="E517:E526" si="154">D517/C517</f>
        <v>0.16663021266224634</v>
      </c>
      <c r="I517" t="s">
        <v>2</v>
      </c>
      <c r="J517" s="1">
        <f t="shared" ref="J517:J526" si="155">E517</f>
        <v>0.16663021266224634</v>
      </c>
      <c r="K517" s="1">
        <f t="shared" ref="K517:K526" si="156">E530</f>
        <v>0.14795118079728031</v>
      </c>
      <c r="U517" s="1">
        <f t="shared" si="152"/>
        <v>0.11865062337960586</v>
      </c>
    </row>
    <row r="518" spans="1:25" x14ac:dyDescent="0.25">
      <c r="A518" t="s">
        <v>3</v>
      </c>
      <c r="B518">
        <v>37.020400000000002</v>
      </c>
      <c r="C518">
        <v>33.093800000000002</v>
      </c>
      <c r="D518">
        <f t="shared" si="153"/>
        <v>3.9266000000000005</v>
      </c>
      <c r="E518" s="1">
        <f t="shared" si="154"/>
        <v>0.11865062337960586</v>
      </c>
      <c r="I518" t="s">
        <v>3</v>
      </c>
      <c r="J518" s="1">
        <f t="shared" si="155"/>
        <v>0.11865062337960586</v>
      </c>
      <c r="K518" s="1">
        <f t="shared" si="156"/>
        <v>0.144501386966743</v>
      </c>
      <c r="U518" s="1">
        <f t="shared" si="152"/>
        <v>0.14312450009998001</v>
      </c>
    </row>
    <row r="519" spans="1:25" x14ac:dyDescent="0.25">
      <c r="A519" t="s">
        <v>4</v>
      </c>
      <c r="B519">
        <v>36.587299999999999</v>
      </c>
      <c r="C519">
        <v>32.006399999999999</v>
      </c>
      <c r="D519">
        <f t="shared" si="153"/>
        <v>4.5808999999999997</v>
      </c>
      <c r="E519" s="1">
        <f t="shared" si="154"/>
        <v>0.14312450009998001</v>
      </c>
      <c r="I519" t="s">
        <v>4</v>
      </c>
      <c r="J519" s="1">
        <f t="shared" si="155"/>
        <v>0.14312450009998001</v>
      </c>
      <c r="K519" s="1">
        <f t="shared" si="156"/>
        <v>0.20668366326734658</v>
      </c>
      <c r="U519" s="1">
        <f t="shared" si="152"/>
        <v>0.13056995478165684</v>
      </c>
    </row>
    <row r="520" spans="1:25" x14ac:dyDescent="0.25">
      <c r="A520" t="s">
        <v>5</v>
      </c>
      <c r="B520">
        <v>35.528500000000001</v>
      </c>
      <c r="C520">
        <v>31.4253</v>
      </c>
      <c r="D520">
        <f t="shared" si="153"/>
        <v>4.1032000000000011</v>
      </c>
      <c r="E520" s="1">
        <f t="shared" si="154"/>
        <v>0.13056995478165684</v>
      </c>
      <c r="I520" t="s">
        <v>5</v>
      </c>
      <c r="J520" s="1">
        <f t="shared" si="155"/>
        <v>0.13056995478165684</v>
      </c>
      <c r="K520" s="1">
        <f t="shared" si="156"/>
        <v>0.18127114140517356</v>
      </c>
      <c r="U520" s="1">
        <f t="shared" si="152"/>
        <v>9.9741046949313933E-2</v>
      </c>
    </row>
    <row r="521" spans="1:25" x14ac:dyDescent="0.25">
      <c r="A521" t="s">
        <v>6</v>
      </c>
      <c r="B521">
        <v>36.140900000000002</v>
      </c>
      <c r="C521">
        <v>32.863100000000003</v>
      </c>
      <c r="D521">
        <f t="shared" si="153"/>
        <v>3.2777999999999992</v>
      </c>
      <c r="E521" s="1">
        <f t="shared" si="154"/>
        <v>9.9741046949313933E-2</v>
      </c>
      <c r="I521" t="s">
        <v>6</v>
      </c>
      <c r="J521" s="1">
        <f t="shared" si="155"/>
        <v>9.9741046949313933E-2</v>
      </c>
      <c r="K521" s="1">
        <f t="shared" si="156"/>
        <v>0.14715592868597296</v>
      </c>
      <c r="U521" s="1">
        <f t="shared" si="152"/>
        <v>0.19669975003910628</v>
      </c>
    </row>
    <row r="522" spans="1:25" x14ac:dyDescent="0.25">
      <c r="A522" t="s">
        <v>7</v>
      </c>
      <c r="B522">
        <v>37.486499999999999</v>
      </c>
      <c r="C522">
        <v>31.3249</v>
      </c>
      <c r="D522">
        <f t="shared" si="153"/>
        <v>6.1616</v>
      </c>
      <c r="E522" s="1">
        <f t="shared" si="154"/>
        <v>0.19669975003910628</v>
      </c>
      <c r="I522" t="s">
        <v>7</v>
      </c>
      <c r="J522" s="1">
        <f t="shared" si="155"/>
        <v>0.19669975003910628</v>
      </c>
      <c r="K522" s="1">
        <f t="shared" si="156"/>
        <v>0.17799897206375762</v>
      </c>
      <c r="U522" s="1">
        <f t="shared" si="152"/>
        <v>0.14974795113653941</v>
      </c>
    </row>
    <row r="523" spans="1:25" x14ac:dyDescent="0.25">
      <c r="A523" t="s">
        <v>8</v>
      </c>
      <c r="B523">
        <v>37.177100000000003</v>
      </c>
      <c r="C523">
        <v>32.335000000000001</v>
      </c>
      <c r="D523">
        <f t="shared" si="153"/>
        <v>4.8421000000000021</v>
      </c>
      <c r="E523" s="1">
        <f t="shared" si="154"/>
        <v>0.14974795113653941</v>
      </c>
      <c r="I523" t="s">
        <v>8</v>
      </c>
      <c r="J523" s="1">
        <f t="shared" si="155"/>
        <v>0.14974795113653941</v>
      </c>
      <c r="K523" s="1">
        <f t="shared" si="156"/>
        <v>0.14153394154940455</v>
      </c>
      <c r="U523" s="1">
        <f t="shared" si="152"/>
        <v>0.1691982556816588</v>
      </c>
    </row>
    <row r="524" spans="1:25" x14ac:dyDescent="0.25">
      <c r="A524" t="s">
        <v>9</v>
      </c>
      <c r="B524">
        <v>37.509399999999999</v>
      </c>
      <c r="C524">
        <v>32.081299999999999</v>
      </c>
      <c r="D524">
        <f t="shared" si="153"/>
        <v>5.4281000000000006</v>
      </c>
      <c r="E524" s="1">
        <f t="shared" si="154"/>
        <v>0.1691982556816588</v>
      </c>
      <c r="I524" t="s">
        <v>9</v>
      </c>
      <c r="J524" s="1">
        <f t="shared" si="155"/>
        <v>0.1691982556816588</v>
      </c>
      <c r="K524" s="1">
        <f t="shared" si="156"/>
        <v>0.15541452497249181</v>
      </c>
      <c r="U524" s="1">
        <f t="shared" si="152"/>
        <v>0.5907498061407509</v>
      </c>
    </row>
    <row r="525" spans="1:25" x14ac:dyDescent="0.25">
      <c r="A525" t="s">
        <v>10</v>
      </c>
      <c r="B525">
        <v>53.747300000000003</v>
      </c>
      <c r="C525">
        <v>33.787399999999998</v>
      </c>
      <c r="D525">
        <f t="shared" si="153"/>
        <v>19.959900000000005</v>
      </c>
      <c r="E525" s="1">
        <f t="shared" si="154"/>
        <v>0.5907498061407509</v>
      </c>
      <c r="I525" t="s">
        <v>10</v>
      </c>
      <c r="J525" s="1">
        <f t="shared" si="155"/>
        <v>0.5907498061407509</v>
      </c>
      <c r="K525" s="1">
        <f t="shared" si="156"/>
        <v>0.57422589486021425</v>
      </c>
      <c r="U525" s="1">
        <f t="shared" si="152"/>
        <v>2.2702440208813814E-2</v>
      </c>
    </row>
    <row r="526" spans="1:25" x14ac:dyDescent="0.25">
      <c r="A526" t="s">
        <v>11</v>
      </c>
      <c r="B526">
        <v>134.78399999999999</v>
      </c>
      <c r="C526">
        <v>131.792</v>
      </c>
      <c r="D526">
        <f t="shared" si="153"/>
        <v>2.9919999999999902</v>
      </c>
      <c r="E526" s="1">
        <f t="shared" si="154"/>
        <v>2.2702440208813814E-2</v>
      </c>
      <c r="I526" t="s">
        <v>11</v>
      </c>
      <c r="J526" s="1">
        <f t="shared" si="155"/>
        <v>2.2702440208813814E-2</v>
      </c>
      <c r="K526" s="1">
        <f t="shared" si="156"/>
        <v>5.6270486827728519E-2</v>
      </c>
      <c r="U526" s="1">
        <f t="shared" ref="U526:U535" si="157">K517</f>
        <v>0.14795118079728031</v>
      </c>
    </row>
    <row r="527" spans="1:25" x14ac:dyDescent="0.25">
      <c r="U527" s="1">
        <f t="shared" si="157"/>
        <v>0.144501386966743</v>
      </c>
    </row>
    <row r="528" spans="1:25" x14ac:dyDescent="0.25">
      <c r="U528" s="1">
        <f t="shared" si="157"/>
        <v>0.20668366326734658</v>
      </c>
    </row>
    <row r="529" spans="1:21" x14ac:dyDescent="0.25">
      <c r="A529" t="s">
        <v>1</v>
      </c>
      <c r="B529" t="s">
        <v>14</v>
      </c>
      <c r="C529" t="s">
        <v>13</v>
      </c>
      <c r="I529" t="s">
        <v>19</v>
      </c>
      <c r="J529" s="2">
        <f>AVERAGE(J517:J526)</f>
        <v>0.1787814541079672</v>
      </c>
      <c r="K529" s="2">
        <f>AVERAGE(K517:K526)</f>
        <v>0.19330071213961134</v>
      </c>
      <c r="U529" s="1">
        <f t="shared" si="157"/>
        <v>0.18127114140517356</v>
      </c>
    </row>
    <row r="530" spans="1:21" x14ac:dyDescent="0.25">
      <c r="A530" t="s">
        <v>2</v>
      </c>
      <c r="B530">
        <v>36.738799999999998</v>
      </c>
      <c r="C530">
        <v>32.003799999999998</v>
      </c>
      <c r="D530">
        <f t="shared" ref="D530:D539" si="158">B530-C530</f>
        <v>4.7349999999999994</v>
      </c>
      <c r="E530" s="1">
        <f t="shared" ref="E530:E539" si="159">D530/C530</f>
        <v>0.14795118079728031</v>
      </c>
      <c r="N530" t="s">
        <v>20</v>
      </c>
      <c r="O530" s="2">
        <f>MIN(U516:U535)</f>
        <v>2.2702440208813814E-2</v>
      </c>
      <c r="U530" s="1">
        <f t="shared" si="157"/>
        <v>0.14715592868597296</v>
      </c>
    </row>
    <row r="531" spans="1:21" x14ac:dyDescent="0.25">
      <c r="A531" t="s">
        <v>3</v>
      </c>
      <c r="B531">
        <v>37.875900000000001</v>
      </c>
      <c r="C531">
        <v>33.093800000000002</v>
      </c>
      <c r="D531">
        <f t="shared" si="158"/>
        <v>4.7820999999999998</v>
      </c>
      <c r="E531" s="1">
        <f t="shared" si="159"/>
        <v>0.144501386966743</v>
      </c>
      <c r="N531" t="s">
        <v>21</v>
      </c>
      <c r="O531" s="2">
        <f>MAX(U516:U535)</f>
        <v>0.5907498061407509</v>
      </c>
      <c r="U531" s="1">
        <f t="shared" si="157"/>
        <v>0.17799897206375762</v>
      </c>
    </row>
    <row r="532" spans="1:21" x14ac:dyDescent="0.25">
      <c r="A532" t="s">
        <v>4</v>
      </c>
      <c r="B532">
        <v>38.621600000000001</v>
      </c>
      <c r="C532">
        <v>32.006399999999999</v>
      </c>
      <c r="D532">
        <f t="shared" si="158"/>
        <v>6.6152000000000015</v>
      </c>
      <c r="E532" s="1">
        <f t="shared" si="159"/>
        <v>0.20668366326734658</v>
      </c>
      <c r="N532" t="s">
        <v>22</v>
      </c>
      <c r="O532" s="2">
        <f>AVERAGE(U516:U535)</f>
        <v>0.18604108312378925</v>
      </c>
      <c r="U532" s="1">
        <f t="shared" si="157"/>
        <v>0.14153394154940455</v>
      </c>
    </row>
    <row r="533" spans="1:21" x14ac:dyDescent="0.25">
      <c r="A533" t="s">
        <v>5</v>
      </c>
      <c r="B533">
        <v>37.1218</v>
      </c>
      <c r="C533">
        <v>31.4253</v>
      </c>
      <c r="D533">
        <f t="shared" si="158"/>
        <v>5.6965000000000003</v>
      </c>
      <c r="E533" s="1">
        <f t="shared" si="159"/>
        <v>0.18127114140517356</v>
      </c>
      <c r="U533" s="1">
        <f t="shared" si="157"/>
        <v>0.15541452497249181</v>
      </c>
    </row>
    <row r="534" spans="1:21" x14ac:dyDescent="0.25">
      <c r="A534" t="s">
        <v>6</v>
      </c>
      <c r="B534">
        <v>37.699100000000001</v>
      </c>
      <c r="C534">
        <v>32.863100000000003</v>
      </c>
      <c r="D534">
        <f t="shared" si="158"/>
        <v>4.8359999999999985</v>
      </c>
      <c r="E534" s="1">
        <f t="shared" si="159"/>
        <v>0.14715592868597296</v>
      </c>
      <c r="U534" s="1">
        <f t="shared" si="157"/>
        <v>0.57422589486021425</v>
      </c>
    </row>
    <row r="535" spans="1:21" x14ac:dyDescent="0.25">
      <c r="A535" t="s">
        <v>7</v>
      </c>
      <c r="B535">
        <v>36.900700000000001</v>
      </c>
      <c r="C535">
        <v>31.3249</v>
      </c>
      <c r="D535">
        <f t="shared" si="158"/>
        <v>5.575800000000001</v>
      </c>
      <c r="E535" s="1">
        <f t="shared" si="159"/>
        <v>0.17799897206375762</v>
      </c>
      <c r="U535" s="1">
        <f t="shared" si="157"/>
        <v>5.6270486827728519E-2</v>
      </c>
    </row>
    <row r="536" spans="1:21" x14ac:dyDescent="0.25">
      <c r="A536" t="s">
        <v>8</v>
      </c>
      <c r="B536">
        <v>36.911499999999997</v>
      </c>
      <c r="C536">
        <v>32.335000000000001</v>
      </c>
      <c r="D536">
        <f t="shared" si="158"/>
        <v>4.5764999999999958</v>
      </c>
      <c r="E536" s="1">
        <f t="shared" si="159"/>
        <v>0.14153394154940455</v>
      </c>
    </row>
    <row r="537" spans="1:21" x14ac:dyDescent="0.25">
      <c r="A537" t="s">
        <v>9</v>
      </c>
      <c r="B537">
        <v>37.0672</v>
      </c>
      <c r="C537">
        <v>32.081299999999999</v>
      </c>
      <c r="D537">
        <f t="shared" si="158"/>
        <v>4.9859000000000009</v>
      </c>
      <c r="E537" s="1">
        <f t="shared" si="159"/>
        <v>0.15541452497249181</v>
      </c>
    </row>
    <row r="538" spans="1:21" x14ac:dyDescent="0.25">
      <c r="A538" t="s">
        <v>10</v>
      </c>
      <c r="B538">
        <v>53.189</v>
      </c>
      <c r="C538">
        <v>33.787399999999998</v>
      </c>
      <c r="D538">
        <f t="shared" si="158"/>
        <v>19.401600000000002</v>
      </c>
      <c r="E538" s="1">
        <f t="shared" si="159"/>
        <v>0.57422589486021425</v>
      </c>
    </row>
    <row r="539" spans="1:21" x14ac:dyDescent="0.25">
      <c r="A539" t="s">
        <v>11</v>
      </c>
      <c r="B539">
        <v>139.208</v>
      </c>
      <c r="C539">
        <v>131.792</v>
      </c>
      <c r="D539">
        <f t="shared" si="158"/>
        <v>7.4159999999999968</v>
      </c>
      <c r="E539" s="1">
        <f t="shared" si="159"/>
        <v>5.6270486827728519E-2</v>
      </c>
    </row>
    <row r="543" spans="1:21" x14ac:dyDescent="0.25">
      <c r="A543" s="7" t="s">
        <v>45</v>
      </c>
      <c r="B543" s="7"/>
      <c r="C543" s="7"/>
      <c r="D543" s="7"/>
      <c r="E543" s="7"/>
    </row>
    <row r="545" spans="1:25" x14ac:dyDescent="0.25">
      <c r="A545" s="6" t="s">
        <v>48</v>
      </c>
      <c r="B545" s="6"/>
    </row>
    <row r="547" spans="1:25" x14ac:dyDescent="0.25">
      <c r="A547" t="s">
        <v>1</v>
      </c>
      <c r="B547" t="s">
        <v>12</v>
      </c>
      <c r="C547" t="s">
        <v>13</v>
      </c>
      <c r="E547" t="s">
        <v>15</v>
      </c>
      <c r="I547" t="s">
        <v>16</v>
      </c>
      <c r="J547" t="s">
        <v>17</v>
      </c>
      <c r="K547" t="s">
        <v>18</v>
      </c>
      <c r="U547" s="4">
        <f t="shared" ref="U547:U556" si="160">J548</f>
        <v>1.9373641569848693E-3</v>
      </c>
      <c r="W547" s="5">
        <f>O561</f>
        <v>-1.4292845934006954E-3</v>
      </c>
      <c r="X547" s="5">
        <f>O562</f>
        <v>9.3834936660859625E-2</v>
      </c>
      <c r="Y547" s="5">
        <f>O563</f>
        <v>1.0719659728890388E-2</v>
      </c>
    </row>
    <row r="548" spans="1:25" x14ac:dyDescent="0.25">
      <c r="A548" t="s">
        <v>2</v>
      </c>
      <c r="B548">
        <v>1.01088500760802</v>
      </c>
      <c r="C548">
        <v>1.0089303421262901</v>
      </c>
      <c r="D548">
        <f t="shared" ref="D548:D557" si="161">B548-C548</f>
        <v>1.9546654817299558E-3</v>
      </c>
      <c r="E548" s="4">
        <f t="shared" ref="E548:E557" si="162">D548/C548</f>
        <v>1.9373641569848693E-3</v>
      </c>
      <c r="I548" t="s">
        <v>2</v>
      </c>
      <c r="J548" s="4">
        <f t="shared" ref="J548:J557" si="163">E548</f>
        <v>1.9373641569848693E-3</v>
      </c>
      <c r="K548" s="4">
        <f t="shared" ref="K548:K557" si="164">E561</f>
        <v>7.0334386217823293E-4</v>
      </c>
      <c r="U548" s="4">
        <f t="shared" si="160"/>
        <v>4.0282776638847608E-3</v>
      </c>
    </row>
    <row r="549" spans="1:25" x14ac:dyDescent="0.25">
      <c r="A549" t="s">
        <v>3</v>
      </c>
      <c r="B549">
        <v>1.0161674851665801</v>
      </c>
      <c r="C549">
        <v>1.0120905035971099</v>
      </c>
      <c r="D549">
        <f t="shared" si="161"/>
        <v>4.0769815694701173E-3</v>
      </c>
      <c r="E549" s="4">
        <f t="shared" si="162"/>
        <v>4.0282776638847608E-3</v>
      </c>
      <c r="I549" t="s">
        <v>3</v>
      </c>
      <c r="J549" s="4">
        <f t="shared" si="163"/>
        <v>4.0282776638847608E-3</v>
      </c>
      <c r="K549" s="4">
        <f t="shared" si="164"/>
        <v>3.1532095026459185E-3</v>
      </c>
      <c r="U549" s="4">
        <f t="shared" si="160"/>
        <v>1.7487365460685095E-3</v>
      </c>
    </row>
    <row r="550" spans="1:25" x14ac:dyDescent="0.25">
      <c r="A550" t="s">
        <v>4</v>
      </c>
      <c r="B550">
        <v>1.01744508064516</v>
      </c>
      <c r="C550">
        <v>1.0156689432454</v>
      </c>
      <c r="D550">
        <f t="shared" si="161"/>
        <v>1.7761373997600138E-3</v>
      </c>
      <c r="E550" s="4">
        <f t="shared" si="162"/>
        <v>1.7487365460685095E-3</v>
      </c>
      <c r="I550" t="s">
        <v>4</v>
      </c>
      <c r="J550" s="4">
        <f t="shared" si="163"/>
        <v>1.7487365460685095E-3</v>
      </c>
      <c r="K550" s="4">
        <f t="shared" si="164"/>
        <v>2.5867159022457103E-3</v>
      </c>
      <c r="U550" s="4">
        <f t="shared" si="160"/>
        <v>4.8784232337355836E-3</v>
      </c>
    </row>
    <row r="551" spans="1:25" x14ac:dyDescent="0.25">
      <c r="A551" t="s">
        <v>5</v>
      </c>
      <c r="B551">
        <v>1.0220836640292099</v>
      </c>
      <c r="C551">
        <v>1.0171217138289299</v>
      </c>
      <c r="D551">
        <f t="shared" si="161"/>
        <v>4.9619502002800076E-3</v>
      </c>
      <c r="E551" s="4">
        <f t="shared" si="162"/>
        <v>4.8784232337355836E-3</v>
      </c>
      <c r="I551" t="s">
        <v>5</v>
      </c>
      <c r="J551" s="4">
        <f t="shared" si="163"/>
        <v>4.8784232337355836E-3</v>
      </c>
      <c r="K551" s="4">
        <f t="shared" si="164"/>
        <v>3.7065244800626169E-3</v>
      </c>
      <c r="U551" s="4">
        <f t="shared" si="160"/>
        <v>9.1067827928253021E-4</v>
      </c>
    </row>
    <row r="552" spans="1:25" x14ac:dyDescent="0.25">
      <c r="A552" t="s">
        <v>6</v>
      </c>
      <c r="B552">
        <v>1.0225678350829099</v>
      </c>
      <c r="C552">
        <v>1.0216374520460301</v>
      </c>
      <c r="D552">
        <f t="shared" si="161"/>
        <v>9.3038303687986712E-4</v>
      </c>
      <c r="E552" s="4">
        <f t="shared" si="162"/>
        <v>9.1067827928253021E-4</v>
      </c>
      <c r="I552" t="s">
        <v>6</v>
      </c>
      <c r="J552" s="4">
        <f t="shared" si="163"/>
        <v>9.1067827928253021E-4</v>
      </c>
      <c r="K552" s="4">
        <f t="shared" si="164"/>
        <v>2.8286993321462829E-4</v>
      </c>
      <c r="U552" s="4">
        <f t="shared" si="160"/>
        <v>1.9065364589473967E-3</v>
      </c>
    </row>
    <row r="553" spans="1:25" x14ac:dyDescent="0.25">
      <c r="A553" t="s">
        <v>7</v>
      </c>
      <c r="B553">
        <v>1.0245112233718801</v>
      </c>
      <c r="C553">
        <v>1.02256167226219</v>
      </c>
      <c r="D553">
        <f t="shared" si="161"/>
        <v>1.9495511096900842E-3</v>
      </c>
      <c r="E553" s="4">
        <f t="shared" si="162"/>
        <v>1.9065364589473967E-3</v>
      </c>
      <c r="I553" t="s">
        <v>7</v>
      </c>
      <c r="J553" s="4">
        <f t="shared" si="163"/>
        <v>1.9065364589473967E-3</v>
      </c>
      <c r="K553" s="4">
        <f t="shared" si="164"/>
        <v>1.3363869258339876E-3</v>
      </c>
      <c r="U553" s="4">
        <f t="shared" si="160"/>
        <v>3.886734241208078E-3</v>
      </c>
    </row>
    <row r="554" spans="1:25" x14ac:dyDescent="0.25">
      <c r="A554" t="s">
        <v>8</v>
      </c>
      <c r="B554">
        <v>1.0264060915867901</v>
      </c>
      <c r="C554">
        <v>1.0224321694644201</v>
      </c>
      <c r="D554">
        <f t="shared" si="161"/>
        <v>3.9739221223700216E-3</v>
      </c>
      <c r="E554" s="4">
        <f t="shared" si="162"/>
        <v>3.886734241208078E-3</v>
      </c>
      <c r="I554" t="s">
        <v>8</v>
      </c>
      <c r="J554" s="4">
        <f t="shared" si="163"/>
        <v>3.886734241208078E-3</v>
      </c>
      <c r="K554" s="4">
        <f t="shared" si="164"/>
        <v>2.4648520366098892E-3</v>
      </c>
      <c r="U554" s="4">
        <f t="shared" si="160"/>
        <v>3.0620191382633301E-3</v>
      </c>
    </row>
    <row r="555" spans="1:25" x14ac:dyDescent="0.25">
      <c r="A555" t="s">
        <v>9</v>
      </c>
      <c r="B555">
        <v>1.04017878727936</v>
      </c>
      <c r="C555">
        <v>1.03700346282973</v>
      </c>
      <c r="D555">
        <f t="shared" si="161"/>
        <v>3.1753244496299793E-3</v>
      </c>
      <c r="E555" s="4">
        <f t="shared" si="162"/>
        <v>3.0620191382633301E-3</v>
      </c>
      <c r="I555" t="s">
        <v>9</v>
      </c>
      <c r="J555" s="4">
        <f t="shared" si="163"/>
        <v>3.0620191382633301E-3</v>
      </c>
      <c r="K555" s="4">
        <f t="shared" si="164"/>
        <v>1.8700530402071135E-3</v>
      </c>
      <c r="U555" s="4">
        <f t="shared" si="160"/>
        <v>4.0647699797329668E-3</v>
      </c>
    </row>
    <row r="556" spans="1:25" x14ac:dyDescent="0.25">
      <c r="A556" t="s">
        <v>10</v>
      </c>
      <c r="B556">
        <v>1.0603334586122899</v>
      </c>
      <c r="C556">
        <v>1.0560408952837701</v>
      </c>
      <c r="D556">
        <f t="shared" si="161"/>
        <v>4.2925633285197939E-3</v>
      </c>
      <c r="E556" s="4">
        <f t="shared" si="162"/>
        <v>4.0647699797329668E-3</v>
      </c>
      <c r="I556" t="s">
        <v>10</v>
      </c>
      <c r="J556" s="4">
        <f t="shared" si="163"/>
        <v>4.0647699797329668E-3</v>
      </c>
      <c r="K556" s="4">
        <f t="shared" si="164"/>
        <v>-1.4292845934006954E-3</v>
      </c>
      <c r="U556" s="4">
        <f t="shared" si="160"/>
        <v>7.9460047129242733E-2</v>
      </c>
    </row>
    <row r="557" spans="1:25" x14ac:dyDescent="0.25">
      <c r="A557" t="s">
        <v>11</v>
      </c>
      <c r="B557">
        <v>1.2875037608397899</v>
      </c>
      <c r="C557">
        <v>1.19272942455242</v>
      </c>
      <c r="D557">
        <f t="shared" si="161"/>
        <v>9.4774336287369865E-2</v>
      </c>
      <c r="E557" s="4">
        <f t="shared" si="162"/>
        <v>7.9460047129242733E-2</v>
      </c>
      <c r="I557" t="s">
        <v>11</v>
      </c>
      <c r="J557" s="4">
        <f t="shared" si="163"/>
        <v>7.9460047129242733E-2</v>
      </c>
      <c r="K557" s="4">
        <f t="shared" si="164"/>
        <v>9.3834936660859625E-2</v>
      </c>
      <c r="U557" s="4">
        <f t="shared" ref="U557:U566" si="165">K548</f>
        <v>7.0334386217823293E-4</v>
      </c>
    </row>
    <row r="558" spans="1:25" x14ac:dyDescent="0.25">
      <c r="U558" s="4">
        <f t="shared" si="165"/>
        <v>3.1532095026459185E-3</v>
      </c>
    </row>
    <row r="559" spans="1:25" x14ac:dyDescent="0.25">
      <c r="U559" s="4">
        <f t="shared" si="165"/>
        <v>2.5867159022457103E-3</v>
      </c>
    </row>
    <row r="560" spans="1:25" x14ac:dyDescent="0.25">
      <c r="A560" t="s">
        <v>1</v>
      </c>
      <c r="B560" t="s">
        <v>14</v>
      </c>
      <c r="C560" t="s">
        <v>13</v>
      </c>
      <c r="I560" t="s">
        <v>19</v>
      </c>
      <c r="J560" s="2">
        <f>AVERAGE(J548:J557)</f>
        <v>1.0588358682735076E-2</v>
      </c>
      <c r="K560" s="2">
        <f>AVERAGE(K548:K557)</f>
        <v>1.0850960775045703E-2</v>
      </c>
      <c r="U560" s="4">
        <f t="shared" si="165"/>
        <v>3.7065244800626169E-3</v>
      </c>
    </row>
    <row r="561" spans="1:25" x14ac:dyDescent="0.25">
      <c r="A561" t="s">
        <v>2</v>
      </c>
      <c r="B561">
        <v>1.00963996708979</v>
      </c>
      <c r="C561">
        <v>1.0089303421262901</v>
      </c>
      <c r="D561">
        <f t="shared" ref="D561:D570" si="166">B561-C561</f>
        <v>7.0962496349991078E-4</v>
      </c>
      <c r="E561" s="1">
        <f t="shared" ref="E561:E570" si="167">D561/C561</f>
        <v>7.0334386217823293E-4</v>
      </c>
      <c r="N561" t="s">
        <v>20</v>
      </c>
      <c r="O561" s="5">
        <f>MIN(U547:U566)</f>
        <v>-1.4292845934006954E-3</v>
      </c>
      <c r="U561" s="4">
        <f t="shared" si="165"/>
        <v>2.8286993321462829E-4</v>
      </c>
    </row>
    <row r="562" spans="1:25" x14ac:dyDescent="0.25">
      <c r="A562" t="s">
        <v>3</v>
      </c>
      <c r="B562">
        <v>1.01528183699059</v>
      </c>
      <c r="C562">
        <v>1.0120905035971099</v>
      </c>
      <c r="D562">
        <f t="shared" si="166"/>
        <v>3.1913333934801003E-3</v>
      </c>
      <c r="E562" s="1">
        <f t="shared" si="167"/>
        <v>3.1532095026459185E-3</v>
      </c>
      <c r="N562" t="s">
        <v>21</v>
      </c>
      <c r="O562" s="2">
        <f>MAX(U547:U566)</f>
        <v>9.3834936660859625E-2</v>
      </c>
      <c r="U562" s="4">
        <f t="shared" si="165"/>
        <v>1.3363869258339876E-3</v>
      </c>
    </row>
    <row r="563" spans="1:25" x14ac:dyDescent="0.25">
      <c r="A563" t="s">
        <v>4</v>
      </c>
      <c r="B563">
        <v>1.01829619025231</v>
      </c>
      <c r="C563">
        <v>1.0156689432454</v>
      </c>
      <c r="D563">
        <f t="shared" si="166"/>
        <v>2.6272470069099718E-3</v>
      </c>
      <c r="E563" s="1">
        <f t="shared" si="167"/>
        <v>2.5867159022457103E-3</v>
      </c>
      <c r="N563" t="s">
        <v>22</v>
      </c>
      <c r="O563" s="2">
        <f>AVERAGE(U547:U566)</f>
        <v>1.0719659728890388E-2</v>
      </c>
      <c r="U563" s="4">
        <f t="shared" si="165"/>
        <v>2.4648520366098892E-3</v>
      </c>
    </row>
    <row r="564" spans="1:25" x14ac:dyDescent="0.25">
      <c r="A564" t="s">
        <v>5</v>
      </c>
      <c r="B564">
        <v>1.0208917003604401</v>
      </c>
      <c r="C564">
        <v>1.0171217138289299</v>
      </c>
      <c r="D564">
        <f t="shared" si="166"/>
        <v>3.7699865315101722E-3</v>
      </c>
      <c r="E564" s="1">
        <f t="shared" si="167"/>
        <v>3.7065244800626169E-3</v>
      </c>
      <c r="U564" s="4">
        <f t="shared" si="165"/>
        <v>1.8700530402071135E-3</v>
      </c>
    </row>
    <row r="565" spans="1:25" x14ac:dyDescent="0.25">
      <c r="A565" t="s">
        <v>6</v>
      </c>
      <c r="B565">
        <v>1.0219264425638599</v>
      </c>
      <c r="C565">
        <v>1.0216374520460301</v>
      </c>
      <c r="D565">
        <f t="shared" si="166"/>
        <v>2.8899051782982355E-4</v>
      </c>
      <c r="E565" s="1">
        <f t="shared" si="167"/>
        <v>2.8286993321462829E-4</v>
      </c>
      <c r="U565" s="4">
        <f t="shared" si="165"/>
        <v>-1.4292845934006954E-3</v>
      </c>
    </row>
    <row r="566" spans="1:25" x14ac:dyDescent="0.25">
      <c r="A566" t="s">
        <v>7</v>
      </c>
      <c r="B566">
        <v>1.0239282103118601</v>
      </c>
      <c r="C566">
        <v>1.02256167226219</v>
      </c>
      <c r="D566">
        <f t="shared" si="166"/>
        <v>1.3665380496701296E-3</v>
      </c>
      <c r="E566" s="1">
        <f t="shared" si="167"/>
        <v>1.3363869258339876E-3</v>
      </c>
      <c r="U566" s="4">
        <f t="shared" si="165"/>
        <v>9.3834936660859625E-2</v>
      </c>
    </row>
    <row r="567" spans="1:25" x14ac:dyDescent="0.25">
      <c r="A567" t="s">
        <v>8</v>
      </c>
      <c r="B567">
        <v>1.0249523134796199</v>
      </c>
      <c r="C567">
        <v>1.0224321694644201</v>
      </c>
      <c r="D567">
        <f t="shared" si="166"/>
        <v>2.5201440151998433E-3</v>
      </c>
      <c r="E567" s="1">
        <f t="shared" si="167"/>
        <v>2.4648520366098892E-3</v>
      </c>
    </row>
    <row r="568" spans="1:25" x14ac:dyDescent="0.25">
      <c r="A568" t="s">
        <v>9</v>
      </c>
      <c r="B568">
        <v>1.0389427143081</v>
      </c>
      <c r="C568">
        <v>1.03700346282973</v>
      </c>
      <c r="D568">
        <f t="shared" si="166"/>
        <v>1.939251478370041E-3</v>
      </c>
      <c r="E568" s="1">
        <f t="shared" si="167"/>
        <v>1.8700530402071135E-3</v>
      </c>
    </row>
    <row r="569" spans="1:25" x14ac:dyDescent="0.25">
      <c r="A569" t="s">
        <v>10</v>
      </c>
      <c r="B569">
        <v>1.0545315123021399</v>
      </c>
      <c r="C569">
        <v>1.0560408952837701</v>
      </c>
      <c r="D569">
        <f t="shared" si="166"/>
        <v>-1.5093829816301696E-3</v>
      </c>
      <c r="E569" s="1">
        <f t="shared" si="167"/>
        <v>-1.4292845934006954E-3</v>
      </c>
    </row>
    <row r="570" spans="1:25" x14ac:dyDescent="0.25">
      <c r="A570" t="s">
        <v>11</v>
      </c>
      <c r="B570">
        <v>1.3046491145588399</v>
      </c>
      <c r="C570">
        <v>1.19272942455242</v>
      </c>
      <c r="D570">
        <f t="shared" si="166"/>
        <v>0.11191969000641988</v>
      </c>
      <c r="E570" s="1">
        <f t="shared" si="167"/>
        <v>9.3834936660859625E-2</v>
      </c>
    </row>
    <row r="572" spans="1:25" x14ac:dyDescent="0.25">
      <c r="A572" s="6" t="s">
        <v>49</v>
      </c>
      <c r="B572" s="6"/>
    </row>
    <row r="574" spans="1:25" x14ac:dyDescent="0.25">
      <c r="A574" t="s">
        <v>1</v>
      </c>
      <c r="B574" t="s">
        <v>12</v>
      </c>
      <c r="C574" t="s">
        <v>13</v>
      </c>
      <c r="E574" t="s">
        <v>15</v>
      </c>
      <c r="I574" t="s">
        <v>16</v>
      </c>
      <c r="J574" t="s">
        <v>17</v>
      </c>
      <c r="K574" t="s">
        <v>18</v>
      </c>
      <c r="U574" s="1">
        <f t="shared" ref="U574:U583" si="168">J575</f>
        <v>7.7971900222539497E-2</v>
      </c>
      <c r="W574" s="2">
        <f>O588</f>
        <v>-1.0841892427468844E-2</v>
      </c>
      <c r="X574" s="2">
        <f>O589</f>
        <v>0.4139696530799738</v>
      </c>
      <c r="Y574" s="2">
        <f>O590</f>
        <v>0.10761009439415008</v>
      </c>
    </row>
    <row r="575" spans="1:25" x14ac:dyDescent="0.25">
      <c r="A575" t="s">
        <v>2</v>
      </c>
      <c r="B575">
        <v>1.2981799999999999</v>
      </c>
      <c r="C575">
        <v>1.20428</v>
      </c>
      <c r="D575">
        <f t="shared" ref="D575:D584" si="169">B575-C575</f>
        <v>9.3899999999999872E-2</v>
      </c>
      <c r="E575" s="1">
        <f t="shared" ref="E575:E584" si="170">D575/C575</f>
        <v>7.7971900222539497E-2</v>
      </c>
      <c r="I575" t="s">
        <v>2</v>
      </c>
      <c r="J575" s="1">
        <f t="shared" ref="J575:J584" si="171">E575</f>
        <v>7.7971900222539497E-2</v>
      </c>
      <c r="K575" s="1">
        <f t="shared" ref="K575:K584" si="172">E588</f>
        <v>-1.3867206961836619E-3</v>
      </c>
      <c r="U575" s="1">
        <f t="shared" si="168"/>
        <v>0.16046882150544917</v>
      </c>
    </row>
    <row r="576" spans="1:25" x14ac:dyDescent="0.25">
      <c r="A576" t="s">
        <v>3</v>
      </c>
      <c r="B576">
        <v>1.3693299999999999</v>
      </c>
      <c r="C576">
        <v>1.17998</v>
      </c>
      <c r="D576">
        <f t="shared" si="169"/>
        <v>0.18934999999999991</v>
      </c>
      <c r="E576" s="1">
        <f t="shared" si="170"/>
        <v>0.16046882150544917</v>
      </c>
      <c r="I576" t="s">
        <v>3</v>
      </c>
      <c r="J576" s="1">
        <f t="shared" si="171"/>
        <v>0.16046882150544917</v>
      </c>
      <c r="K576" s="1">
        <f t="shared" si="172"/>
        <v>8.7577755555178882E-2</v>
      </c>
      <c r="U576" s="1">
        <f t="shared" si="168"/>
        <v>7.8032285334728779E-2</v>
      </c>
    </row>
    <row r="577" spans="1:21" x14ac:dyDescent="0.25">
      <c r="A577" t="s">
        <v>4</v>
      </c>
      <c r="B577">
        <v>1.33897</v>
      </c>
      <c r="C577">
        <v>1.2420500000000001</v>
      </c>
      <c r="D577">
        <f t="shared" si="169"/>
        <v>9.6919999999999895E-2</v>
      </c>
      <c r="E577" s="1">
        <f t="shared" si="170"/>
        <v>7.8032285334728779E-2</v>
      </c>
      <c r="I577" t="s">
        <v>4</v>
      </c>
      <c r="J577" s="1">
        <f t="shared" si="171"/>
        <v>7.8032285334728779E-2</v>
      </c>
      <c r="K577" s="1">
        <f t="shared" si="172"/>
        <v>9.8506501348576914E-2</v>
      </c>
      <c r="U577" s="1">
        <f t="shared" si="168"/>
        <v>0.21924398045388171</v>
      </c>
    </row>
    <row r="578" spans="1:21" x14ac:dyDescent="0.25">
      <c r="A578" t="s">
        <v>5</v>
      </c>
      <c r="B578">
        <v>1.4446699999999999</v>
      </c>
      <c r="C578">
        <v>1.18489</v>
      </c>
      <c r="D578">
        <f t="shared" si="169"/>
        <v>0.2597799999999999</v>
      </c>
      <c r="E578" s="1">
        <f t="shared" si="170"/>
        <v>0.21924398045388171</v>
      </c>
      <c r="I578" t="s">
        <v>5</v>
      </c>
      <c r="J578" s="1">
        <f t="shared" si="171"/>
        <v>0.21924398045388171</v>
      </c>
      <c r="K578" s="1">
        <f t="shared" si="172"/>
        <v>0.16125547519179001</v>
      </c>
      <c r="U578" s="1">
        <f t="shared" si="168"/>
        <v>3.0950863910648066E-2</v>
      </c>
    </row>
    <row r="579" spans="1:21" x14ac:dyDescent="0.25">
      <c r="A579" t="s">
        <v>6</v>
      </c>
      <c r="B579">
        <v>1.37534</v>
      </c>
      <c r="C579">
        <v>1.33405</v>
      </c>
      <c r="D579">
        <f t="shared" si="169"/>
        <v>4.1290000000000049E-2</v>
      </c>
      <c r="E579" s="1">
        <f t="shared" si="170"/>
        <v>3.0950863910648066E-2</v>
      </c>
      <c r="I579" t="s">
        <v>6</v>
      </c>
      <c r="J579" s="1">
        <f t="shared" si="171"/>
        <v>3.0950863910648066E-2</v>
      </c>
      <c r="K579" s="1">
        <f t="shared" si="172"/>
        <v>1.9804355159102068E-2</v>
      </c>
      <c r="U579" s="1">
        <f t="shared" si="168"/>
        <v>8.3848835018526538E-2</v>
      </c>
    </row>
    <row r="580" spans="1:21" x14ac:dyDescent="0.25">
      <c r="A580" t="s">
        <v>7</v>
      </c>
      <c r="B580">
        <v>1.3806499999999999</v>
      </c>
      <c r="C580">
        <v>1.2738400000000001</v>
      </c>
      <c r="D580">
        <f t="shared" si="169"/>
        <v>0.10680999999999985</v>
      </c>
      <c r="E580" s="1">
        <f t="shared" si="170"/>
        <v>8.3848835018526538E-2</v>
      </c>
      <c r="I580" t="s">
        <v>7</v>
      </c>
      <c r="J580" s="1">
        <f t="shared" si="171"/>
        <v>8.3848835018526538E-2</v>
      </c>
      <c r="K580" s="1">
        <f t="shared" si="172"/>
        <v>2.6777303271996372E-2</v>
      </c>
      <c r="U580" s="1">
        <f t="shared" si="168"/>
        <v>5.5701619334107166E-2</v>
      </c>
    </row>
    <row r="581" spans="1:21" x14ac:dyDescent="0.25">
      <c r="A581" t="s">
        <v>8</v>
      </c>
      <c r="B581">
        <v>1.3371200000000001</v>
      </c>
      <c r="C581">
        <v>1.26657</v>
      </c>
      <c r="D581">
        <f t="shared" si="169"/>
        <v>7.0550000000000113E-2</v>
      </c>
      <c r="E581" s="1">
        <f t="shared" si="170"/>
        <v>5.5701619334107166E-2</v>
      </c>
      <c r="I581" t="s">
        <v>8</v>
      </c>
      <c r="J581" s="1">
        <f t="shared" si="171"/>
        <v>5.5701619334107166E-2</v>
      </c>
      <c r="K581" s="1">
        <f t="shared" si="172"/>
        <v>2.4270273257695974E-2</v>
      </c>
      <c r="U581" s="1">
        <f t="shared" si="168"/>
        <v>9.1188778560284511E-2</v>
      </c>
    </row>
    <row r="582" spans="1:21" x14ac:dyDescent="0.25">
      <c r="A582" t="s">
        <v>9</v>
      </c>
      <c r="B582">
        <v>1.49674</v>
      </c>
      <c r="C582">
        <v>1.3716600000000001</v>
      </c>
      <c r="D582">
        <f t="shared" si="169"/>
        <v>0.12507999999999986</v>
      </c>
      <c r="E582" s="1">
        <f t="shared" si="170"/>
        <v>9.1188778560284511E-2</v>
      </c>
      <c r="I582" t="s">
        <v>9</v>
      </c>
      <c r="J582" s="1">
        <f t="shared" si="171"/>
        <v>9.1188778560284511E-2</v>
      </c>
      <c r="K582" s="1">
        <f t="shared" si="172"/>
        <v>0.11125934998469002</v>
      </c>
      <c r="U582" s="1">
        <f t="shared" si="168"/>
        <v>3.326459188403072E-2</v>
      </c>
    </row>
    <row r="583" spans="1:21" x14ac:dyDescent="0.25">
      <c r="A583" t="s">
        <v>10</v>
      </c>
      <c r="B583">
        <v>1.5381899999999999</v>
      </c>
      <c r="C583">
        <v>1.4886699999999999</v>
      </c>
      <c r="D583">
        <f t="shared" si="169"/>
        <v>4.9520000000000008E-2</v>
      </c>
      <c r="E583" s="1">
        <f t="shared" si="170"/>
        <v>3.326459188403072E-2</v>
      </c>
      <c r="I583" t="s">
        <v>10</v>
      </c>
      <c r="J583" s="1">
        <f t="shared" si="171"/>
        <v>3.326459188403072E-2</v>
      </c>
      <c r="K583" s="1">
        <f t="shared" si="172"/>
        <v>-1.0841892427468844E-2</v>
      </c>
      <c r="U583" s="1">
        <f t="shared" si="168"/>
        <v>0.39033815793345394</v>
      </c>
    </row>
    <row r="584" spans="1:21" x14ac:dyDescent="0.25">
      <c r="A584" t="s">
        <v>11</v>
      </c>
      <c r="B584">
        <v>4.2525300000000001</v>
      </c>
      <c r="C584">
        <v>3.05863</v>
      </c>
      <c r="D584">
        <f t="shared" si="169"/>
        <v>1.1939000000000002</v>
      </c>
      <c r="E584" s="1">
        <f t="shared" si="170"/>
        <v>0.39033815793345394</v>
      </c>
      <c r="I584" t="s">
        <v>11</v>
      </c>
      <c r="J584" s="1">
        <f t="shared" si="171"/>
        <v>0.39033815793345394</v>
      </c>
      <c r="K584" s="1">
        <f t="shared" si="172"/>
        <v>0.4139696530799738</v>
      </c>
      <c r="U584" s="1">
        <f t="shared" ref="U584:U593" si="173">K575</f>
        <v>-1.3867206961836619E-3</v>
      </c>
    </row>
    <row r="585" spans="1:21" x14ac:dyDescent="0.25">
      <c r="U585" s="1">
        <f t="shared" si="173"/>
        <v>8.7577755555178882E-2</v>
      </c>
    </row>
    <row r="586" spans="1:21" x14ac:dyDescent="0.25">
      <c r="U586" s="1">
        <f t="shared" si="173"/>
        <v>9.8506501348576914E-2</v>
      </c>
    </row>
    <row r="587" spans="1:21" x14ac:dyDescent="0.25">
      <c r="A587" t="s">
        <v>1</v>
      </c>
      <c r="B587" t="s">
        <v>14</v>
      </c>
      <c r="C587" t="s">
        <v>13</v>
      </c>
      <c r="I587" t="s">
        <v>19</v>
      </c>
      <c r="J587" s="2">
        <f>AVERAGE(J575:J584)</f>
        <v>0.122100983415765</v>
      </c>
      <c r="K587" s="2">
        <f>AVERAGE(K575:K584)</f>
        <v>9.3119205372535166E-2</v>
      </c>
      <c r="U587" s="1">
        <f t="shared" si="173"/>
        <v>0.16125547519179001</v>
      </c>
    </row>
    <row r="588" spans="1:21" x14ac:dyDescent="0.25">
      <c r="A588" t="s">
        <v>2</v>
      </c>
      <c r="B588">
        <v>1.20261</v>
      </c>
      <c r="C588">
        <v>1.20428</v>
      </c>
      <c r="D588">
        <f t="shared" ref="D588:D597" si="174">B588-C588</f>
        <v>-1.6700000000000603E-3</v>
      </c>
      <c r="E588" s="1">
        <f t="shared" ref="E588:E597" si="175">D588/C588</f>
        <v>-1.3867206961836619E-3</v>
      </c>
      <c r="N588" t="s">
        <v>20</v>
      </c>
      <c r="O588" s="2">
        <f>MIN(U574:U593)</f>
        <v>-1.0841892427468844E-2</v>
      </c>
      <c r="U588" s="1">
        <f t="shared" si="173"/>
        <v>1.9804355159102068E-2</v>
      </c>
    </row>
    <row r="589" spans="1:21" x14ac:dyDescent="0.25">
      <c r="A589" t="s">
        <v>3</v>
      </c>
      <c r="B589">
        <v>1.28332</v>
      </c>
      <c r="C589">
        <v>1.17998</v>
      </c>
      <c r="D589">
        <f t="shared" si="174"/>
        <v>0.10333999999999999</v>
      </c>
      <c r="E589" s="1">
        <f t="shared" si="175"/>
        <v>8.7577755555178882E-2</v>
      </c>
      <c r="N589" t="s">
        <v>21</v>
      </c>
      <c r="O589" s="2">
        <f>MAX(U574:U593)</f>
        <v>0.4139696530799738</v>
      </c>
      <c r="U589" s="1">
        <f t="shared" si="173"/>
        <v>2.6777303271996372E-2</v>
      </c>
    </row>
    <row r="590" spans="1:21" x14ac:dyDescent="0.25">
      <c r="A590" t="s">
        <v>4</v>
      </c>
      <c r="B590">
        <v>1.3644000000000001</v>
      </c>
      <c r="C590">
        <v>1.2420500000000001</v>
      </c>
      <c r="D590">
        <f t="shared" si="174"/>
        <v>0.12234999999999996</v>
      </c>
      <c r="E590" s="1">
        <f t="shared" si="175"/>
        <v>9.8506501348576914E-2</v>
      </c>
      <c r="N590" t="s">
        <v>22</v>
      </c>
      <c r="O590" s="2">
        <f>AVERAGE(U574:U593)</f>
        <v>0.10761009439415008</v>
      </c>
      <c r="U590" s="1">
        <f t="shared" si="173"/>
        <v>2.4270273257695974E-2</v>
      </c>
    </row>
    <row r="591" spans="1:21" x14ac:dyDescent="0.25">
      <c r="A591" t="s">
        <v>5</v>
      </c>
      <c r="B591">
        <v>1.3759600000000001</v>
      </c>
      <c r="C591">
        <v>1.18489</v>
      </c>
      <c r="D591">
        <f t="shared" si="174"/>
        <v>0.19107000000000007</v>
      </c>
      <c r="E591" s="1">
        <f t="shared" si="175"/>
        <v>0.16125547519179001</v>
      </c>
      <c r="U591" s="1">
        <f t="shared" si="173"/>
        <v>0.11125934998469002</v>
      </c>
    </row>
    <row r="592" spans="1:21" x14ac:dyDescent="0.25">
      <c r="A592" t="s">
        <v>6</v>
      </c>
      <c r="B592">
        <v>1.3604700000000001</v>
      </c>
      <c r="C592">
        <v>1.33405</v>
      </c>
      <c r="D592">
        <f t="shared" si="174"/>
        <v>2.642000000000011E-2</v>
      </c>
      <c r="E592" s="1">
        <f t="shared" si="175"/>
        <v>1.9804355159102068E-2</v>
      </c>
      <c r="U592" s="1">
        <f t="shared" si="173"/>
        <v>-1.0841892427468844E-2</v>
      </c>
    </row>
    <row r="593" spans="1:25" x14ac:dyDescent="0.25">
      <c r="A593" t="s">
        <v>7</v>
      </c>
      <c r="B593">
        <v>1.3079499999999999</v>
      </c>
      <c r="C593">
        <v>1.2738400000000001</v>
      </c>
      <c r="D593">
        <f t="shared" si="174"/>
        <v>3.4109999999999863E-2</v>
      </c>
      <c r="E593" s="1">
        <f t="shared" si="175"/>
        <v>2.6777303271996372E-2</v>
      </c>
      <c r="U593" s="1">
        <f t="shared" si="173"/>
        <v>0.4139696530799738</v>
      </c>
    </row>
    <row r="594" spans="1:25" x14ac:dyDescent="0.25">
      <c r="A594" t="s">
        <v>8</v>
      </c>
      <c r="B594">
        <v>1.29731</v>
      </c>
      <c r="C594">
        <v>1.26657</v>
      </c>
      <c r="D594">
        <f t="shared" si="174"/>
        <v>3.073999999999999E-2</v>
      </c>
      <c r="E594" s="1">
        <f t="shared" si="175"/>
        <v>2.4270273257695974E-2</v>
      </c>
    </row>
    <row r="595" spans="1:25" x14ac:dyDescent="0.25">
      <c r="A595" t="s">
        <v>9</v>
      </c>
      <c r="B595">
        <v>1.52427</v>
      </c>
      <c r="C595">
        <v>1.3716600000000001</v>
      </c>
      <c r="D595">
        <f t="shared" si="174"/>
        <v>0.15260999999999991</v>
      </c>
      <c r="E595" s="1">
        <f t="shared" si="175"/>
        <v>0.11125934998469002</v>
      </c>
    </row>
    <row r="596" spans="1:25" x14ac:dyDescent="0.25">
      <c r="A596" t="s">
        <v>10</v>
      </c>
      <c r="B596">
        <v>1.4725299999999999</v>
      </c>
      <c r="C596">
        <v>1.4886699999999999</v>
      </c>
      <c r="D596">
        <f t="shared" si="174"/>
        <v>-1.6140000000000043E-2</v>
      </c>
      <c r="E596" s="1">
        <f t="shared" si="175"/>
        <v>-1.0841892427468844E-2</v>
      </c>
    </row>
    <row r="597" spans="1:25" x14ac:dyDescent="0.25">
      <c r="A597" t="s">
        <v>11</v>
      </c>
      <c r="B597">
        <v>4.3248100000000003</v>
      </c>
      <c r="C597">
        <v>3.05863</v>
      </c>
      <c r="D597">
        <f t="shared" si="174"/>
        <v>1.2661800000000003</v>
      </c>
      <c r="E597" s="1">
        <f t="shared" si="175"/>
        <v>0.4139696530799738</v>
      </c>
    </row>
    <row r="599" spans="1:25" x14ac:dyDescent="0.25">
      <c r="A599" s="6" t="s">
        <v>50</v>
      </c>
      <c r="B599" s="6"/>
    </row>
    <row r="601" spans="1:25" x14ac:dyDescent="0.25">
      <c r="A601" t="s">
        <v>1</v>
      </c>
      <c r="B601" t="s">
        <v>12</v>
      </c>
      <c r="C601" t="s">
        <v>13</v>
      </c>
      <c r="E601" t="s">
        <v>15</v>
      </c>
      <c r="I601" t="s">
        <v>16</v>
      </c>
      <c r="J601" t="s">
        <v>17</v>
      </c>
      <c r="K601" t="s">
        <v>18</v>
      </c>
      <c r="U601" s="1">
        <f t="shared" ref="U601:U610" si="176">J602</f>
        <v>1.4943294881121954E-2</v>
      </c>
      <c r="W601" s="2">
        <f>O615</f>
        <v>9.0936356609800702E-3</v>
      </c>
      <c r="X601" s="2">
        <f>O616</f>
        <v>0.19448003979015799</v>
      </c>
      <c r="Y601" s="2">
        <f>O617</f>
        <v>2.9981137286020747E-2</v>
      </c>
    </row>
    <row r="602" spans="1:25" x14ac:dyDescent="0.25">
      <c r="A602" t="s">
        <v>2</v>
      </c>
      <c r="B602">
        <v>1.04835883121596</v>
      </c>
      <c r="C602">
        <v>1.03292355001838</v>
      </c>
      <c r="D602">
        <f t="shared" ref="D602:D611" si="177">B602-C602</f>
        <v>1.5435281197579975E-2</v>
      </c>
      <c r="E602" s="1">
        <f t="shared" ref="E602:E611" si="178">D602/C602</f>
        <v>1.4943294881121954E-2</v>
      </c>
      <c r="I602" t="s">
        <v>2</v>
      </c>
      <c r="J602" s="1">
        <f t="shared" ref="J602:J611" si="179">E602</f>
        <v>1.4943294881121954E-2</v>
      </c>
      <c r="K602" s="1">
        <f t="shared" ref="K602:K611" si="180">E615</f>
        <v>1.5122248879330969E-2</v>
      </c>
      <c r="U602" s="1">
        <f t="shared" si="176"/>
        <v>9.2409376933033516E-3</v>
      </c>
    </row>
    <row r="603" spans="1:25" x14ac:dyDescent="0.25">
      <c r="A603" t="s">
        <v>3</v>
      </c>
      <c r="B603">
        <v>1.05388134210525</v>
      </c>
      <c r="C603">
        <v>1.0442316623758601</v>
      </c>
      <c r="D603">
        <f t="shared" si="177"/>
        <v>9.6496797293899039E-3</v>
      </c>
      <c r="E603" s="1">
        <f t="shared" si="178"/>
        <v>9.2409376933033516E-3</v>
      </c>
      <c r="I603" t="s">
        <v>3</v>
      </c>
      <c r="J603" s="1">
        <f t="shared" si="179"/>
        <v>9.2409376933033516E-3</v>
      </c>
      <c r="K603" s="1">
        <f t="shared" si="180"/>
        <v>1.3220273358031028E-2</v>
      </c>
      <c r="U603" s="1">
        <f t="shared" si="176"/>
        <v>1.286602203458727E-2</v>
      </c>
    </row>
    <row r="604" spans="1:25" x14ac:dyDescent="0.25">
      <c r="A604" t="s">
        <v>4</v>
      </c>
      <c r="B604">
        <v>1.06154638021778</v>
      </c>
      <c r="C604">
        <v>1.0480619915410001</v>
      </c>
      <c r="D604">
        <f t="shared" si="177"/>
        <v>1.3484388676779924E-2</v>
      </c>
      <c r="E604" s="1">
        <f t="shared" si="178"/>
        <v>1.286602203458727E-2</v>
      </c>
      <c r="I604" t="s">
        <v>4</v>
      </c>
      <c r="J604" s="1">
        <f t="shared" si="179"/>
        <v>1.286602203458727E-2</v>
      </c>
      <c r="K604" s="1">
        <f t="shared" si="180"/>
        <v>1.3998923449325417E-2</v>
      </c>
      <c r="U604" s="1">
        <f t="shared" si="176"/>
        <v>1.0454189475823441E-2</v>
      </c>
    </row>
    <row r="605" spans="1:25" x14ac:dyDescent="0.25">
      <c r="A605" t="s">
        <v>5</v>
      </c>
      <c r="B605">
        <v>1.0655328321234001</v>
      </c>
      <c r="C605">
        <v>1.05450879735196</v>
      </c>
      <c r="D605">
        <f t="shared" si="177"/>
        <v>1.1024034771440094E-2</v>
      </c>
      <c r="E605" s="1">
        <f t="shared" si="178"/>
        <v>1.0454189475823441E-2</v>
      </c>
      <c r="I605" t="s">
        <v>5</v>
      </c>
      <c r="J605" s="1">
        <f t="shared" si="179"/>
        <v>1.0454189475823441E-2</v>
      </c>
      <c r="K605" s="1">
        <f t="shared" si="180"/>
        <v>1.3534173671902076E-2</v>
      </c>
      <c r="U605" s="1">
        <f t="shared" si="176"/>
        <v>1.2140108430373187E-2</v>
      </c>
    </row>
    <row r="606" spans="1:25" x14ac:dyDescent="0.25">
      <c r="A606" t="s">
        <v>6</v>
      </c>
      <c r="B606">
        <v>1.0709172389075301</v>
      </c>
      <c r="C606">
        <v>1.0580721285399</v>
      </c>
      <c r="D606">
        <f t="shared" si="177"/>
        <v>1.2845110367630141E-2</v>
      </c>
      <c r="E606" s="1">
        <f t="shared" si="178"/>
        <v>1.2140108430373187E-2</v>
      </c>
      <c r="I606" t="s">
        <v>6</v>
      </c>
      <c r="J606" s="1">
        <f t="shared" si="179"/>
        <v>1.2140108430373187E-2</v>
      </c>
      <c r="K606" s="1">
        <f t="shared" si="180"/>
        <v>1.1897374773146441E-2</v>
      </c>
      <c r="U606" s="1">
        <f t="shared" si="176"/>
        <v>1.5630077633851311E-2</v>
      </c>
    </row>
    <row r="607" spans="1:25" x14ac:dyDescent="0.25">
      <c r="A607" t="s">
        <v>7</v>
      </c>
      <c r="B607">
        <v>1.07655094827586</v>
      </c>
      <c r="C607">
        <v>1.05998332659066</v>
      </c>
      <c r="D607">
        <f t="shared" si="177"/>
        <v>1.6567621685199985E-2</v>
      </c>
      <c r="E607" s="1">
        <f t="shared" si="178"/>
        <v>1.5630077633851311E-2</v>
      </c>
      <c r="I607" t="s">
        <v>7</v>
      </c>
      <c r="J607" s="1">
        <f t="shared" si="179"/>
        <v>1.5630077633851311E-2</v>
      </c>
      <c r="K607" s="1">
        <f t="shared" si="180"/>
        <v>1.4198977934529655E-2</v>
      </c>
      <c r="U607" s="1">
        <f t="shared" si="176"/>
        <v>1.1269591193337116E-2</v>
      </c>
    </row>
    <row r="608" spans="1:25" x14ac:dyDescent="0.25">
      <c r="A608" t="s">
        <v>8</v>
      </c>
      <c r="B608">
        <v>1.0760918539019899</v>
      </c>
      <c r="C608">
        <v>1.06409988322912</v>
      </c>
      <c r="D608">
        <f t="shared" si="177"/>
        <v>1.1991970672869945E-2</v>
      </c>
      <c r="E608" s="1">
        <f t="shared" si="178"/>
        <v>1.1269591193337116E-2</v>
      </c>
      <c r="I608" t="s">
        <v>8</v>
      </c>
      <c r="J608" s="1">
        <f t="shared" si="179"/>
        <v>1.1269591193337116E-2</v>
      </c>
      <c r="K608" s="1">
        <f t="shared" si="180"/>
        <v>1.1575807521799949E-2</v>
      </c>
      <c r="U608" s="1">
        <f t="shared" si="176"/>
        <v>9.0936356609800702E-3</v>
      </c>
    </row>
    <row r="609" spans="1:21" x14ac:dyDescent="0.25">
      <c r="A609" t="s">
        <v>9</v>
      </c>
      <c r="B609">
        <v>1.09823997912885</v>
      </c>
      <c r="C609">
        <v>1.08834298455314</v>
      </c>
      <c r="D609">
        <f t="shared" si="177"/>
        <v>9.8969945757099165E-3</v>
      </c>
      <c r="E609" s="1">
        <f t="shared" si="178"/>
        <v>9.0936356609800702E-3</v>
      </c>
      <c r="I609" t="s">
        <v>9</v>
      </c>
      <c r="J609" s="1">
        <f t="shared" si="179"/>
        <v>9.0936356609800702E-3</v>
      </c>
      <c r="K609" s="1">
        <f t="shared" si="180"/>
        <v>1.2498667555297561E-2</v>
      </c>
      <c r="U609" s="1">
        <f t="shared" si="176"/>
        <v>1.1338716299486582E-2</v>
      </c>
    </row>
    <row r="610" spans="1:21" x14ac:dyDescent="0.25">
      <c r="A610" t="s">
        <v>10</v>
      </c>
      <c r="B610">
        <v>1.1441957876588</v>
      </c>
      <c r="C610">
        <v>1.13136753218095</v>
      </c>
      <c r="D610">
        <f t="shared" si="177"/>
        <v>1.2828255477850048E-2</v>
      </c>
      <c r="E610" s="1">
        <f t="shared" si="178"/>
        <v>1.1338716299486582E-2</v>
      </c>
      <c r="I610" t="s">
        <v>10</v>
      </c>
      <c r="J610" s="1">
        <f t="shared" si="179"/>
        <v>1.1338716299486582E-2</v>
      </c>
      <c r="K610" s="1">
        <f t="shared" si="180"/>
        <v>1.2633530810086956E-2</v>
      </c>
      <c r="U610" s="1">
        <f t="shared" si="176"/>
        <v>0.17948615467394263</v>
      </c>
    </row>
    <row r="611" spans="1:21" x14ac:dyDescent="0.25">
      <c r="A611" t="s">
        <v>11</v>
      </c>
      <c r="B611">
        <v>1.6856490699573401</v>
      </c>
      <c r="C611">
        <v>1.4291384966899601</v>
      </c>
      <c r="D611">
        <f t="shared" si="177"/>
        <v>0.25651057326738003</v>
      </c>
      <c r="E611" s="1">
        <f t="shared" si="178"/>
        <v>0.17948615467394263</v>
      </c>
      <c r="I611" t="s">
        <v>11</v>
      </c>
      <c r="J611" s="1">
        <f t="shared" si="179"/>
        <v>0.17948615467394263</v>
      </c>
      <c r="K611" s="1">
        <f t="shared" si="180"/>
        <v>0.19448003979015799</v>
      </c>
      <c r="U611" s="1">
        <f t="shared" ref="U611:U620" si="181">K602</f>
        <v>1.5122248879330969E-2</v>
      </c>
    </row>
    <row r="612" spans="1:21" x14ac:dyDescent="0.25">
      <c r="U612" s="1">
        <f t="shared" si="181"/>
        <v>1.3220273358031028E-2</v>
      </c>
    </row>
    <row r="613" spans="1:21" x14ac:dyDescent="0.25">
      <c r="U613" s="1">
        <f t="shared" si="181"/>
        <v>1.3998923449325417E-2</v>
      </c>
    </row>
    <row r="614" spans="1:21" x14ac:dyDescent="0.25">
      <c r="A614" t="s">
        <v>1</v>
      </c>
      <c r="B614" t="s">
        <v>14</v>
      </c>
      <c r="C614" t="s">
        <v>13</v>
      </c>
      <c r="I614" t="s">
        <v>19</v>
      </c>
      <c r="J614" s="2">
        <f>AVERAGE(J602:J611)</f>
        <v>2.8646272797680693E-2</v>
      </c>
      <c r="K614" s="2">
        <f>AVERAGE(K602:K611)</f>
        <v>3.1316001774360801E-2</v>
      </c>
      <c r="U614" s="1">
        <f t="shared" si="181"/>
        <v>1.3534173671902076E-2</v>
      </c>
    </row>
    <row r="615" spans="1:21" x14ac:dyDescent="0.25">
      <c r="A615" t="s">
        <v>2</v>
      </c>
      <c r="B615">
        <v>1.04854367701508</v>
      </c>
      <c r="C615">
        <v>1.03292355001838</v>
      </c>
      <c r="D615">
        <f t="shared" ref="D615:D624" si="182">B615-C615</f>
        <v>1.5620126996700012E-2</v>
      </c>
      <c r="E615" s="1">
        <f t="shared" ref="E615:E624" si="183">D615/C615</f>
        <v>1.5122248879330969E-2</v>
      </c>
      <c r="N615" t="s">
        <v>20</v>
      </c>
      <c r="O615" s="2">
        <f>MIN(U601:U620)</f>
        <v>9.0936356609800702E-3</v>
      </c>
      <c r="U615" s="1">
        <f t="shared" si="181"/>
        <v>1.1897374773146441E-2</v>
      </c>
    </row>
    <row r="616" spans="1:21" x14ac:dyDescent="0.25">
      <c r="A616" t="s">
        <v>3</v>
      </c>
      <c r="B616">
        <v>1.0580366904015801</v>
      </c>
      <c r="C616">
        <v>1.0442316623758601</v>
      </c>
      <c r="D616">
        <f t="shared" si="182"/>
        <v>1.3805028025720034E-2</v>
      </c>
      <c r="E616" s="1">
        <f t="shared" si="183"/>
        <v>1.3220273358031028E-2</v>
      </c>
      <c r="N616" t="s">
        <v>21</v>
      </c>
      <c r="O616" s="2">
        <f>MAX(U601:U620)</f>
        <v>0.19448003979015799</v>
      </c>
      <c r="U616" s="1">
        <f t="shared" si="181"/>
        <v>1.4198977934529655E-2</v>
      </c>
    </row>
    <row r="617" spans="1:21" x14ac:dyDescent="0.25">
      <c r="A617" t="s">
        <v>4</v>
      </c>
      <c r="B617">
        <v>1.0627337311307301</v>
      </c>
      <c r="C617">
        <v>1.0480619915410001</v>
      </c>
      <c r="D617">
        <f t="shared" si="182"/>
        <v>1.4671739589730004E-2</v>
      </c>
      <c r="E617" s="1">
        <f t="shared" si="183"/>
        <v>1.3998923449325417E-2</v>
      </c>
      <c r="N617" t="s">
        <v>22</v>
      </c>
      <c r="O617" s="2">
        <f>AVERAGE(U601:U620)</f>
        <v>2.9981137286020747E-2</v>
      </c>
      <c r="U617" s="1">
        <f t="shared" si="181"/>
        <v>1.1575807521799949E-2</v>
      </c>
    </row>
    <row r="618" spans="1:21" x14ac:dyDescent="0.25">
      <c r="A618" t="s">
        <v>5</v>
      </c>
      <c r="B618">
        <v>1.06878070255387</v>
      </c>
      <c r="C618">
        <v>1.05450879735196</v>
      </c>
      <c r="D618">
        <f t="shared" si="182"/>
        <v>1.4271905201910018E-2</v>
      </c>
      <c r="E618" s="1">
        <f t="shared" si="183"/>
        <v>1.3534173671902076E-2</v>
      </c>
      <c r="U618" s="1">
        <f t="shared" si="181"/>
        <v>1.2498667555297561E-2</v>
      </c>
    </row>
    <row r="619" spans="1:21" x14ac:dyDescent="0.25">
      <c r="A619" t="s">
        <v>6</v>
      </c>
      <c r="B619">
        <v>1.0706604091901599</v>
      </c>
      <c r="C619">
        <v>1.0580721285399</v>
      </c>
      <c r="D619">
        <f t="shared" si="182"/>
        <v>1.2588280650259964E-2</v>
      </c>
      <c r="E619" s="1">
        <f t="shared" si="183"/>
        <v>1.1897374773146441E-2</v>
      </c>
      <c r="U619" s="1">
        <f t="shared" si="181"/>
        <v>1.2633530810086956E-2</v>
      </c>
    </row>
    <row r="620" spans="1:21" x14ac:dyDescent="0.25">
      <c r="A620" t="s">
        <v>7</v>
      </c>
      <c r="B620">
        <v>1.0750340064558901</v>
      </c>
      <c r="C620">
        <v>1.05998332659066</v>
      </c>
      <c r="D620">
        <f t="shared" si="182"/>
        <v>1.5050679865230121E-2</v>
      </c>
      <c r="E620" s="1">
        <f t="shared" si="183"/>
        <v>1.4198977934529655E-2</v>
      </c>
      <c r="U620" s="1">
        <f t="shared" si="181"/>
        <v>0.19448003979015799</v>
      </c>
    </row>
    <row r="621" spans="1:21" x14ac:dyDescent="0.25">
      <c r="A621" t="s">
        <v>8</v>
      </c>
      <c r="B621">
        <v>1.0764176986613501</v>
      </c>
      <c r="C621">
        <v>1.06409988322912</v>
      </c>
      <c r="D621">
        <f t="shared" si="182"/>
        <v>1.2317815432230095E-2</v>
      </c>
      <c r="E621" s="1">
        <f t="shared" si="183"/>
        <v>1.1575807521799949E-2</v>
      </c>
    </row>
    <row r="622" spans="1:21" x14ac:dyDescent="0.25">
      <c r="A622" t="s">
        <v>9</v>
      </c>
      <c r="B622">
        <v>1.1019458217032101</v>
      </c>
      <c r="C622">
        <v>1.08834298455314</v>
      </c>
      <c r="D622">
        <f t="shared" si="182"/>
        <v>1.3602837150070046E-2</v>
      </c>
      <c r="E622" s="1">
        <f t="shared" si="183"/>
        <v>1.2498667555297561E-2</v>
      </c>
    </row>
    <row r="623" spans="1:21" x14ac:dyDescent="0.25">
      <c r="A623" t="s">
        <v>10</v>
      </c>
      <c r="B623">
        <v>1.1456606987562901</v>
      </c>
      <c r="C623">
        <v>1.13136753218095</v>
      </c>
      <c r="D623">
        <f t="shared" si="182"/>
        <v>1.4293166575340077E-2</v>
      </c>
      <c r="E623" s="1">
        <f t="shared" si="183"/>
        <v>1.2633530810086956E-2</v>
      </c>
    </row>
    <row r="624" spans="1:21" x14ac:dyDescent="0.25">
      <c r="A624" t="s">
        <v>11</v>
      </c>
      <c r="B624">
        <v>1.7070774083918701</v>
      </c>
      <c r="C624">
        <v>1.4291384966899601</v>
      </c>
      <c r="D624">
        <f t="shared" si="182"/>
        <v>0.27793891170190999</v>
      </c>
      <c r="E624" s="1">
        <f t="shared" si="183"/>
        <v>0.19448003979015799</v>
      </c>
    </row>
    <row r="626" spans="1:25" x14ac:dyDescent="0.25">
      <c r="A626" s="6" t="s">
        <v>51</v>
      </c>
      <c r="B626" s="6"/>
    </row>
    <row r="628" spans="1:25" x14ac:dyDescent="0.25">
      <c r="A628" t="s">
        <v>1</v>
      </c>
      <c r="B628" t="s">
        <v>12</v>
      </c>
      <c r="C628" t="s">
        <v>13</v>
      </c>
      <c r="E628" t="s">
        <v>15</v>
      </c>
      <c r="I628" t="s">
        <v>16</v>
      </c>
      <c r="J628" t="s">
        <v>17</v>
      </c>
      <c r="K628" t="s">
        <v>18</v>
      </c>
      <c r="U628" s="1">
        <f t="shared" ref="U628:U637" si="184">J629</f>
        <v>0.16047605283052438</v>
      </c>
      <c r="W628" s="2">
        <f>O642</f>
        <v>9.1945443097109586E-2</v>
      </c>
      <c r="X628" s="2">
        <f>O643</f>
        <v>0.66252937335258988</v>
      </c>
      <c r="Y628" s="2">
        <f>O644</f>
        <v>0.20041330940340191</v>
      </c>
    </row>
    <row r="629" spans="1:25" x14ac:dyDescent="0.25">
      <c r="A629" t="s">
        <v>2</v>
      </c>
      <c r="B629">
        <v>2.08765</v>
      </c>
      <c r="C629">
        <v>1.7989599999999999</v>
      </c>
      <c r="D629">
        <f t="shared" ref="D629:D638" si="185">B629-C629</f>
        <v>0.28869000000000011</v>
      </c>
      <c r="E629" s="1">
        <f t="shared" ref="E629:E638" si="186">D629/C629</f>
        <v>0.16047605283052438</v>
      </c>
      <c r="I629" t="s">
        <v>2</v>
      </c>
      <c r="J629" s="1">
        <f t="shared" ref="J629:J638" si="187">E629</f>
        <v>0.16047605283052438</v>
      </c>
      <c r="K629" s="1">
        <f t="shared" ref="K629:K638" si="188">E642</f>
        <v>0.1576744341174901</v>
      </c>
      <c r="U629" s="1">
        <f t="shared" si="184"/>
        <v>0.13480354518131746</v>
      </c>
    </row>
    <row r="630" spans="1:25" x14ac:dyDescent="0.25">
      <c r="A630" t="s">
        <v>3</v>
      </c>
      <c r="B630">
        <v>2.0691099999999998</v>
      </c>
      <c r="C630">
        <v>1.8233200000000001</v>
      </c>
      <c r="D630">
        <f t="shared" si="185"/>
        <v>0.24578999999999973</v>
      </c>
      <c r="E630" s="1">
        <f t="shared" si="186"/>
        <v>0.13480354518131746</v>
      </c>
      <c r="I630" t="s">
        <v>3</v>
      </c>
      <c r="J630" s="1">
        <f t="shared" si="187"/>
        <v>0.13480354518131746</v>
      </c>
      <c r="K630" s="1">
        <f t="shared" si="188"/>
        <v>0.16169405260733161</v>
      </c>
      <c r="U630" s="1">
        <f t="shared" si="184"/>
        <v>0.19677971093289839</v>
      </c>
    </row>
    <row r="631" spans="1:25" x14ac:dyDescent="0.25">
      <c r="A631" t="s">
        <v>4</v>
      </c>
      <c r="B631">
        <v>2.11313</v>
      </c>
      <c r="C631">
        <v>1.7656799999999999</v>
      </c>
      <c r="D631">
        <f t="shared" si="185"/>
        <v>0.34745000000000004</v>
      </c>
      <c r="E631" s="1">
        <f t="shared" si="186"/>
        <v>0.19677971093289839</v>
      </c>
      <c r="I631" t="s">
        <v>4</v>
      </c>
      <c r="J631" s="1">
        <f t="shared" si="187"/>
        <v>0.19677971093289839</v>
      </c>
      <c r="K631" s="1">
        <f t="shared" si="188"/>
        <v>0.19610574962620647</v>
      </c>
      <c r="U631" s="1">
        <f t="shared" si="184"/>
        <v>0.14286487422609001</v>
      </c>
    </row>
    <row r="632" spans="1:25" x14ac:dyDescent="0.25">
      <c r="A632" t="s">
        <v>5</v>
      </c>
      <c r="B632">
        <v>2.1117400000000002</v>
      </c>
      <c r="C632">
        <v>1.8477600000000001</v>
      </c>
      <c r="D632">
        <f t="shared" si="185"/>
        <v>0.2639800000000001</v>
      </c>
      <c r="E632" s="1">
        <f t="shared" si="186"/>
        <v>0.14286487422609001</v>
      </c>
      <c r="I632" t="s">
        <v>5</v>
      </c>
      <c r="J632" s="1">
        <f t="shared" si="187"/>
        <v>0.14286487422609001</v>
      </c>
      <c r="K632" s="1">
        <f t="shared" si="188"/>
        <v>0.14542473048447849</v>
      </c>
      <c r="U632" s="1">
        <f t="shared" si="184"/>
        <v>0.13102447162310019</v>
      </c>
    </row>
    <row r="633" spans="1:25" x14ac:dyDescent="0.25">
      <c r="A633" t="s">
        <v>6</v>
      </c>
      <c r="B633">
        <v>2.08812</v>
      </c>
      <c r="C633">
        <v>1.84622</v>
      </c>
      <c r="D633">
        <f t="shared" si="185"/>
        <v>0.2419</v>
      </c>
      <c r="E633" s="1">
        <f t="shared" si="186"/>
        <v>0.13102447162310019</v>
      </c>
      <c r="I633" t="s">
        <v>6</v>
      </c>
      <c r="J633" s="1">
        <f t="shared" si="187"/>
        <v>0.13102447162310019</v>
      </c>
      <c r="K633" s="1">
        <f t="shared" si="188"/>
        <v>0.14883383345430123</v>
      </c>
      <c r="U633" s="1">
        <f t="shared" si="184"/>
        <v>0.17334884849554386</v>
      </c>
    </row>
    <row r="634" spans="1:25" x14ac:dyDescent="0.25">
      <c r="A634" t="s">
        <v>7</v>
      </c>
      <c r="B634">
        <v>2.1276099999999998</v>
      </c>
      <c r="C634">
        <v>1.81328</v>
      </c>
      <c r="D634">
        <f t="shared" si="185"/>
        <v>0.31432999999999978</v>
      </c>
      <c r="E634" s="1">
        <f t="shared" si="186"/>
        <v>0.17334884849554386</v>
      </c>
      <c r="I634" t="s">
        <v>7</v>
      </c>
      <c r="J634" s="1">
        <f t="shared" si="187"/>
        <v>0.17334884849554386</v>
      </c>
      <c r="K634" s="1">
        <f t="shared" si="188"/>
        <v>0.18103105973705108</v>
      </c>
      <c r="U634" s="1">
        <f t="shared" si="184"/>
        <v>0.18469268611207953</v>
      </c>
    </row>
    <row r="635" spans="1:25" x14ac:dyDescent="0.25">
      <c r="A635" t="s">
        <v>8</v>
      </c>
      <c r="B635">
        <v>2.1408700000000001</v>
      </c>
      <c r="C635">
        <v>1.80711</v>
      </c>
      <c r="D635">
        <f t="shared" si="185"/>
        <v>0.33376000000000006</v>
      </c>
      <c r="E635" s="1">
        <f t="shared" si="186"/>
        <v>0.18469268611207953</v>
      </c>
      <c r="I635" t="s">
        <v>8</v>
      </c>
      <c r="J635" s="1">
        <f t="shared" si="187"/>
        <v>0.18469268611207953</v>
      </c>
      <c r="K635" s="1">
        <f t="shared" si="188"/>
        <v>0.16223140815999035</v>
      </c>
      <c r="U635" s="1">
        <f t="shared" si="184"/>
        <v>0.11937916874993337</v>
      </c>
    </row>
    <row r="636" spans="1:25" x14ac:dyDescent="0.25">
      <c r="A636" t="s">
        <v>9</v>
      </c>
      <c r="B636">
        <v>2.1044999999999998</v>
      </c>
      <c r="C636">
        <v>1.8800600000000001</v>
      </c>
      <c r="D636">
        <f t="shared" si="185"/>
        <v>0.22443999999999975</v>
      </c>
      <c r="E636" s="1">
        <f t="shared" si="186"/>
        <v>0.11937916874993337</v>
      </c>
      <c r="I636" t="s">
        <v>9</v>
      </c>
      <c r="J636" s="1">
        <f t="shared" si="187"/>
        <v>0.11937916874993337</v>
      </c>
      <c r="K636" s="1">
        <f t="shared" si="188"/>
        <v>0.13706477452847249</v>
      </c>
      <c r="U636" s="1">
        <f t="shared" si="184"/>
        <v>9.1945443097109586E-2</v>
      </c>
    </row>
    <row r="637" spans="1:25" x14ac:dyDescent="0.25">
      <c r="A637" t="s">
        <v>10</v>
      </c>
      <c r="B637">
        <v>2.1503899999999998</v>
      </c>
      <c r="C637">
        <v>1.96932</v>
      </c>
      <c r="D637">
        <f t="shared" si="185"/>
        <v>0.18106999999999984</v>
      </c>
      <c r="E637" s="1">
        <f t="shared" si="186"/>
        <v>9.1945443097109586E-2</v>
      </c>
      <c r="I637" t="s">
        <v>10</v>
      </c>
      <c r="J637" s="1">
        <f t="shared" si="187"/>
        <v>9.1945443097109586E-2</v>
      </c>
      <c r="K637" s="1">
        <f t="shared" si="188"/>
        <v>9.5921434809985204E-2</v>
      </c>
      <c r="U637" s="1">
        <f t="shared" si="184"/>
        <v>0.62444053594154414</v>
      </c>
    </row>
    <row r="638" spans="1:25" x14ac:dyDescent="0.25">
      <c r="A638" t="s">
        <v>11</v>
      </c>
      <c r="B638">
        <v>6.8161199999999997</v>
      </c>
      <c r="C638">
        <v>4.1959799999999996</v>
      </c>
      <c r="D638">
        <f t="shared" si="185"/>
        <v>2.6201400000000001</v>
      </c>
      <c r="E638" s="1">
        <f t="shared" si="186"/>
        <v>0.62444053594154414</v>
      </c>
      <c r="I638" t="s">
        <v>11</v>
      </c>
      <c r="J638" s="1">
        <f t="shared" si="187"/>
        <v>0.62444053594154414</v>
      </c>
      <c r="K638" s="1">
        <f t="shared" si="188"/>
        <v>0.66252937335258988</v>
      </c>
      <c r="U638" s="1">
        <f t="shared" ref="U638:U647" si="189">K629</f>
        <v>0.1576744341174901</v>
      </c>
    </row>
    <row r="639" spans="1:25" x14ac:dyDescent="0.25">
      <c r="U639" s="1">
        <f t="shared" si="189"/>
        <v>0.16169405260733161</v>
      </c>
    </row>
    <row r="640" spans="1:25" x14ac:dyDescent="0.25">
      <c r="U640" s="1">
        <f t="shared" si="189"/>
        <v>0.19610574962620647</v>
      </c>
    </row>
    <row r="641" spans="1:25" x14ac:dyDescent="0.25">
      <c r="A641" t="s">
        <v>1</v>
      </c>
      <c r="B641" t="s">
        <v>14</v>
      </c>
      <c r="C641" t="s">
        <v>13</v>
      </c>
      <c r="I641" t="s">
        <v>19</v>
      </c>
      <c r="J641" s="2">
        <f>AVERAGE(J629:J638)</f>
        <v>0.19597553371901408</v>
      </c>
      <c r="K641" s="2">
        <f>AVERAGE(K629:K638)</f>
        <v>0.20485108508778968</v>
      </c>
      <c r="U641" s="1">
        <f t="shared" si="189"/>
        <v>0.14542473048447849</v>
      </c>
    </row>
    <row r="642" spans="1:25" x14ac:dyDescent="0.25">
      <c r="A642" t="s">
        <v>2</v>
      </c>
      <c r="B642">
        <v>2.0826099999999999</v>
      </c>
      <c r="C642">
        <v>1.7989599999999999</v>
      </c>
      <c r="D642">
        <f t="shared" ref="D642:D651" si="190">B642-C642</f>
        <v>0.28364999999999996</v>
      </c>
      <c r="E642" s="1">
        <f t="shared" ref="E642:E651" si="191">D642/C642</f>
        <v>0.1576744341174901</v>
      </c>
      <c r="N642" t="s">
        <v>20</v>
      </c>
      <c r="O642" s="2">
        <f>MIN(U628:U647)</f>
        <v>9.1945443097109586E-2</v>
      </c>
      <c r="U642" s="1">
        <f t="shared" si="189"/>
        <v>0.14883383345430123</v>
      </c>
    </row>
    <row r="643" spans="1:25" x14ac:dyDescent="0.25">
      <c r="A643" t="s">
        <v>3</v>
      </c>
      <c r="B643">
        <v>2.1181399999999999</v>
      </c>
      <c r="C643">
        <v>1.8233200000000001</v>
      </c>
      <c r="D643">
        <f t="shared" si="190"/>
        <v>0.29481999999999986</v>
      </c>
      <c r="E643" s="1">
        <f t="shared" si="191"/>
        <v>0.16169405260733161</v>
      </c>
      <c r="N643" t="s">
        <v>21</v>
      </c>
      <c r="O643" s="2">
        <f>MAX(U628:U647)</f>
        <v>0.66252937335258988</v>
      </c>
      <c r="U643" s="1">
        <f t="shared" si="189"/>
        <v>0.18103105973705108</v>
      </c>
    </row>
    <row r="644" spans="1:25" x14ac:dyDescent="0.25">
      <c r="A644" t="s">
        <v>4</v>
      </c>
      <c r="B644">
        <v>2.1119400000000002</v>
      </c>
      <c r="C644">
        <v>1.7656799999999999</v>
      </c>
      <c r="D644">
        <f t="shared" si="190"/>
        <v>0.34626000000000023</v>
      </c>
      <c r="E644" s="1">
        <f t="shared" si="191"/>
        <v>0.19610574962620647</v>
      </c>
      <c r="N644" t="s">
        <v>22</v>
      </c>
      <c r="O644" s="2">
        <f>AVERAGE(U628:U647)</f>
        <v>0.20041330940340191</v>
      </c>
      <c r="U644" s="1">
        <f t="shared" si="189"/>
        <v>0.16223140815999035</v>
      </c>
    </row>
    <row r="645" spans="1:25" x14ac:dyDescent="0.25">
      <c r="A645" t="s">
        <v>5</v>
      </c>
      <c r="B645">
        <v>2.1164700000000001</v>
      </c>
      <c r="C645">
        <v>1.8477600000000001</v>
      </c>
      <c r="D645">
        <f t="shared" si="190"/>
        <v>0.26871</v>
      </c>
      <c r="E645" s="1">
        <f t="shared" si="191"/>
        <v>0.14542473048447849</v>
      </c>
      <c r="U645" s="1">
        <f t="shared" si="189"/>
        <v>0.13706477452847249</v>
      </c>
    </row>
    <row r="646" spans="1:25" x14ac:dyDescent="0.25">
      <c r="A646" t="s">
        <v>6</v>
      </c>
      <c r="B646">
        <v>2.121</v>
      </c>
      <c r="C646">
        <v>1.84622</v>
      </c>
      <c r="D646">
        <f t="shared" si="190"/>
        <v>0.27478000000000002</v>
      </c>
      <c r="E646" s="1">
        <f t="shared" si="191"/>
        <v>0.14883383345430123</v>
      </c>
      <c r="U646" s="1">
        <f t="shared" si="189"/>
        <v>9.5921434809985204E-2</v>
      </c>
    </row>
    <row r="647" spans="1:25" x14ac:dyDescent="0.25">
      <c r="A647" t="s">
        <v>7</v>
      </c>
      <c r="B647">
        <v>2.14154</v>
      </c>
      <c r="C647">
        <v>1.81328</v>
      </c>
      <c r="D647">
        <f t="shared" si="190"/>
        <v>0.32826</v>
      </c>
      <c r="E647" s="1">
        <f t="shared" si="191"/>
        <v>0.18103105973705108</v>
      </c>
      <c r="U647" s="1">
        <f t="shared" si="189"/>
        <v>0.66252937335258988</v>
      </c>
    </row>
    <row r="648" spans="1:25" x14ac:dyDescent="0.25">
      <c r="A648" t="s">
        <v>8</v>
      </c>
      <c r="B648">
        <v>2.1002800000000001</v>
      </c>
      <c r="C648">
        <v>1.80711</v>
      </c>
      <c r="D648">
        <f t="shared" si="190"/>
        <v>0.29317000000000015</v>
      </c>
      <c r="E648" s="1">
        <f t="shared" si="191"/>
        <v>0.16223140815999035</v>
      </c>
    </row>
    <row r="649" spans="1:25" x14ac:dyDescent="0.25">
      <c r="A649" t="s">
        <v>9</v>
      </c>
      <c r="B649">
        <v>2.13775</v>
      </c>
      <c r="C649">
        <v>1.8800600000000001</v>
      </c>
      <c r="D649">
        <f t="shared" si="190"/>
        <v>0.25768999999999997</v>
      </c>
      <c r="E649" s="1">
        <f t="shared" si="191"/>
        <v>0.13706477452847249</v>
      </c>
    </row>
    <row r="650" spans="1:25" x14ac:dyDescent="0.25">
      <c r="A650" t="s">
        <v>10</v>
      </c>
      <c r="B650">
        <v>2.15822</v>
      </c>
      <c r="C650">
        <v>1.96932</v>
      </c>
      <c r="D650">
        <f t="shared" si="190"/>
        <v>0.18890000000000007</v>
      </c>
      <c r="E650" s="1">
        <f t="shared" si="191"/>
        <v>9.5921434809985204E-2</v>
      </c>
    </row>
    <row r="651" spans="1:25" x14ac:dyDescent="0.25">
      <c r="A651" t="s">
        <v>11</v>
      </c>
      <c r="B651">
        <v>6.9759399999999996</v>
      </c>
      <c r="C651">
        <v>4.1959799999999996</v>
      </c>
      <c r="D651">
        <f t="shared" si="190"/>
        <v>2.77996</v>
      </c>
      <c r="E651" s="1">
        <f t="shared" si="191"/>
        <v>0.66252937335258988</v>
      </c>
    </row>
    <row r="653" spans="1:25" x14ac:dyDescent="0.25">
      <c r="A653" s="6" t="s">
        <v>52</v>
      </c>
      <c r="B653" s="6"/>
    </row>
    <row r="655" spans="1:25" x14ac:dyDescent="0.25">
      <c r="A655" t="s">
        <v>1</v>
      </c>
      <c r="B655" t="s">
        <v>12</v>
      </c>
      <c r="C655" t="s">
        <v>13</v>
      </c>
      <c r="E655" t="s">
        <v>15</v>
      </c>
      <c r="I655" t="s">
        <v>16</v>
      </c>
      <c r="J655" t="s">
        <v>17</v>
      </c>
      <c r="K655" t="s">
        <v>18</v>
      </c>
      <c r="U655" s="1">
        <f t="shared" ref="U655:U664" si="192">J656</f>
        <v>3.3753282551399463E-2</v>
      </c>
      <c r="W655" s="2">
        <f>O669</f>
        <v>1.6928208776118239E-2</v>
      </c>
      <c r="X655" s="2">
        <f>O670</f>
        <v>0.2582531533822679</v>
      </c>
      <c r="Y655" s="2">
        <f>O671</f>
        <v>4.9760505209719537E-2</v>
      </c>
    </row>
    <row r="656" spans="1:25" x14ac:dyDescent="0.25">
      <c r="A656" t="s">
        <v>2</v>
      </c>
      <c r="B656">
        <v>1.11485237774354</v>
      </c>
      <c r="C656">
        <v>1.0784511126213601</v>
      </c>
      <c r="D656">
        <f t="shared" ref="D656:D665" si="193">B656-C656</f>
        <v>3.6401265122179893E-2</v>
      </c>
      <c r="E656" s="1">
        <f t="shared" ref="E656:E665" si="194">D656/C656</f>
        <v>3.3753282551399463E-2</v>
      </c>
      <c r="I656" t="s">
        <v>2</v>
      </c>
      <c r="J656" s="1">
        <f t="shared" ref="J656:J665" si="195">E656</f>
        <v>3.3753282551399463E-2</v>
      </c>
      <c r="K656" s="1">
        <f t="shared" ref="K656:K665" si="196">E669</f>
        <v>2.6333494434968321E-2</v>
      </c>
      <c r="U656" s="1">
        <f t="shared" si="192"/>
        <v>3.5419871137590216E-2</v>
      </c>
    </row>
    <row r="657" spans="1:21" x14ac:dyDescent="0.25">
      <c r="A657" t="s">
        <v>3</v>
      </c>
      <c r="B657">
        <v>1.13094885444743</v>
      </c>
      <c r="C657">
        <v>1.0922611067961101</v>
      </c>
      <c r="D657">
        <f t="shared" si="193"/>
        <v>3.8687747651319881E-2</v>
      </c>
      <c r="E657" s="1">
        <f t="shared" si="194"/>
        <v>3.5419871137590216E-2</v>
      </c>
      <c r="I657" t="s">
        <v>3</v>
      </c>
      <c r="J657" s="1">
        <f t="shared" si="195"/>
        <v>3.5419871137590216E-2</v>
      </c>
      <c r="K657" s="1">
        <f t="shared" si="196"/>
        <v>3.1498511873436164E-2</v>
      </c>
      <c r="U657" s="1">
        <f t="shared" si="192"/>
        <v>3.1586170800409499E-2</v>
      </c>
    </row>
    <row r="658" spans="1:21" x14ac:dyDescent="0.25">
      <c r="A658" t="s">
        <v>4</v>
      </c>
      <c r="B658">
        <v>1.12963694203735</v>
      </c>
      <c r="C658">
        <v>1.09504855145631</v>
      </c>
      <c r="D658">
        <f t="shared" si="193"/>
        <v>3.4588390581040018E-2</v>
      </c>
      <c r="E658" s="1">
        <f t="shared" si="194"/>
        <v>3.1586170800409499E-2</v>
      </c>
      <c r="I658" t="s">
        <v>4</v>
      </c>
      <c r="J658" s="1">
        <f t="shared" si="195"/>
        <v>3.1586170800409499E-2</v>
      </c>
      <c r="K658" s="1">
        <f t="shared" si="196"/>
        <v>3.3037683129790926E-2</v>
      </c>
      <c r="U658" s="1">
        <f t="shared" si="192"/>
        <v>2.4398732630140585E-2</v>
      </c>
    </row>
    <row r="659" spans="1:21" x14ac:dyDescent="0.25">
      <c r="A659" t="s">
        <v>5</v>
      </c>
      <c r="B659">
        <v>1.13155124783362</v>
      </c>
      <c r="C659">
        <v>1.1046003980582499</v>
      </c>
      <c r="D659">
        <f t="shared" si="193"/>
        <v>2.69508497753701E-2</v>
      </c>
      <c r="E659" s="1">
        <f t="shared" si="194"/>
        <v>2.4398732630140585E-2</v>
      </c>
      <c r="I659" t="s">
        <v>5</v>
      </c>
      <c r="J659" s="1">
        <f t="shared" si="195"/>
        <v>2.4398732630140585E-2</v>
      </c>
      <c r="K659" s="1">
        <f t="shared" si="196"/>
        <v>2.3634941077264767E-2</v>
      </c>
      <c r="U659" s="1">
        <f t="shared" si="192"/>
        <v>2.7628501767480839E-2</v>
      </c>
    </row>
    <row r="660" spans="1:21" x14ac:dyDescent="0.25">
      <c r="A660" t="s">
        <v>6</v>
      </c>
      <c r="B660">
        <v>1.14380963804389</v>
      </c>
      <c r="C660">
        <v>1.11305752621359</v>
      </c>
      <c r="D660">
        <f t="shared" si="193"/>
        <v>3.0752111830300022E-2</v>
      </c>
      <c r="E660" s="1">
        <f t="shared" si="194"/>
        <v>2.7628501767480839E-2</v>
      </c>
      <c r="I660" t="s">
        <v>6</v>
      </c>
      <c r="J660" s="1">
        <f t="shared" si="195"/>
        <v>2.7628501767480839E-2</v>
      </c>
      <c r="K660" s="1">
        <f t="shared" si="196"/>
        <v>2.4847120602401816E-2</v>
      </c>
      <c r="U660" s="1">
        <f t="shared" si="192"/>
        <v>3.5903279081727732E-2</v>
      </c>
    </row>
    <row r="661" spans="1:21" x14ac:dyDescent="0.25">
      <c r="A661" t="s">
        <v>7</v>
      </c>
      <c r="B661">
        <v>1.15648537158259</v>
      </c>
      <c r="C661">
        <v>1.1164028485436901</v>
      </c>
      <c r="D661">
        <f t="shared" si="193"/>
        <v>4.008252303889992E-2</v>
      </c>
      <c r="E661" s="1">
        <f t="shared" si="194"/>
        <v>3.5903279081727732E-2</v>
      </c>
      <c r="I661" t="s">
        <v>7</v>
      </c>
      <c r="J661" s="1">
        <f t="shared" si="195"/>
        <v>3.5903279081727732E-2</v>
      </c>
      <c r="K661" s="1">
        <f t="shared" si="196"/>
        <v>2.4379740929893062E-2</v>
      </c>
      <c r="U661" s="1">
        <f t="shared" si="192"/>
        <v>3.2961861397818322E-2</v>
      </c>
    </row>
    <row r="662" spans="1:21" x14ac:dyDescent="0.25">
      <c r="A662" t="s">
        <v>8</v>
      </c>
      <c r="B662">
        <v>1.1611978398151701</v>
      </c>
      <c r="C662">
        <v>1.1241439623374101</v>
      </c>
      <c r="D662">
        <f t="shared" si="193"/>
        <v>3.7053877477760011E-2</v>
      </c>
      <c r="E662" s="1">
        <f t="shared" si="194"/>
        <v>3.2961861397818322E-2</v>
      </c>
      <c r="I662" t="s">
        <v>8</v>
      </c>
      <c r="J662" s="1">
        <f t="shared" si="195"/>
        <v>3.2961861397818322E-2</v>
      </c>
      <c r="K662" s="1">
        <f t="shared" si="196"/>
        <v>2.6274096224309634E-2</v>
      </c>
      <c r="U662" s="1">
        <f t="shared" si="192"/>
        <v>2.6252518778567838E-2</v>
      </c>
    </row>
    <row r="663" spans="1:21" x14ac:dyDescent="0.25">
      <c r="A663" t="s">
        <v>9</v>
      </c>
      <c r="B663">
        <v>1.18153037550548</v>
      </c>
      <c r="C663">
        <v>1.15130570097087</v>
      </c>
      <c r="D663">
        <f t="shared" si="193"/>
        <v>3.0224674534609974E-2</v>
      </c>
      <c r="E663" s="1">
        <f t="shared" si="194"/>
        <v>2.6252518778567838E-2</v>
      </c>
      <c r="I663" t="s">
        <v>9</v>
      </c>
      <c r="J663" s="1">
        <f t="shared" si="195"/>
        <v>2.6252518778567838E-2</v>
      </c>
      <c r="K663" s="1">
        <f t="shared" si="196"/>
        <v>2.5353933345726228E-2</v>
      </c>
      <c r="U663" s="1">
        <f t="shared" si="192"/>
        <v>2.1004686890061873E-2</v>
      </c>
    </row>
    <row r="664" spans="1:21" x14ac:dyDescent="0.25">
      <c r="A664" t="s">
        <v>10</v>
      </c>
      <c r="B664">
        <v>1.2457780281147599</v>
      </c>
      <c r="C664">
        <v>1.22014917669903</v>
      </c>
      <c r="D664">
        <f t="shared" si="193"/>
        <v>2.5628851415729903E-2</v>
      </c>
      <c r="E664" s="1">
        <f t="shared" si="194"/>
        <v>2.1004686890061873E-2</v>
      </c>
      <c r="I664" t="s">
        <v>10</v>
      </c>
      <c r="J664" s="1">
        <f t="shared" si="195"/>
        <v>2.1004686890061873E-2</v>
      </c>
      <c r="K664" s="1">
        <f t="shared" si="196"/>
        <v>1.6928208776118239E-2</v>
      </c>
      <c r="U664" s="1">
        <f t="shared" si="192"/>
        <v>0.2582531533822679</v>
      </c>
    </row>
    <row r="665" spans="1:21" x14ac:dyDescent="0.25">
      <c r="A665" t="s">
        <v>11</v>
      </c>
      <c r="B665">
        <v>2.1903645514054602</v>
      </c>
      <c r="C665">
        <v>1.7407979829159299</v>
      </c>
      <c r="D665">
        <f t="shared" si="193"/>
        <v>0.44956656848953025</v>
      </c>
      <c r="E665" s="1">
        <f t="shared" si="194"/>
        <v>0.2582531533822679</v>
      </c>
      <c r="I665" t="s">
        <v>11</v>
      </c>
      <c r="J665" s="1">
        <f t="shared" si="195"/>
        <v>0.2582531533822679</v>
      </c>
      <c r="K665" s="1">
        <f t="shared" si="196"/>
        <v>0.23576031538301748</v>
      </c>
      <c r="U665" s="1">
        <f t="shared" ref="U665:U674" si="197">K656</f>
        <v>2.6333494434968321E-2</v>
      </c>
    </row>
    <row r="666" spans="1:21" x14ac:dyDescent="0.25">
      <c r="U666" s="1">
        <f t="shared" si="197"/>
        <v>3.1498511873436164E-2</v>
      </c>
    </row>
    <row r="667" spans="1:21" x14ac:dyDescent="0.25">
      <c r="U667" s="1">
        <f t="shared" si="197"/>
        <v>3.3037683129790926E-2</v>
      </c>
    </row>
    <row r="668" spans="1:21" x14ac:dyDescent="0.25">
      <c r="A668" t="s">
        <v>1</v>
      </c>
      <c r="B668" t="s">
        <v>14</v>
      </c>
      <c r="C668" t="s">
        <v>13</v>
      </c>
      <c r="I668" t="s">
        <v>19</v>
      </c>
      <c r="J668" s="2">
        <f>AVERAGE(J656:J665)</f>
        <v>5.2716205841746425E-2</v>
      </c>
      <c r="K668" s="2">
        <f>AVERAGE(K656:K665)</f>
        <v>4.6804804577692663E-2</v>
      </c>
      <c r="U668" s="1">
        <f t="shared" si="197"/>
        <v>2.3634941077264767E-2</v>
      </c>
    </row>
    <row r="669" spans="1:21" x14ac:dyDescent="0.25">
      <c r="A669" t="s">
        <v>2</v>
      </c>
      <c r="B669">
        <v>1.10685049899396</v>
      </c>
      <c r="C669">
        <v>1.0784511126213601</v>
      </c>
      <c r="D669">
        <f t="shared" ref="D669:D678" si="198">B669-C669</f>
        <v>2.8399386372599977E-2</v>
      </c>
      <c r="E669" s="1">
        <f t="shared" ref="E669:E678" si="199">D669/C669</f>
        <v>2.6333494434968321E-2</v>
      </c>
      <c r="N669" t="s">
        <v>20</v>
      </c>
      <c r="O669" s="2">
        <f>MIN(U655:U674)</f>
        <v>1.6928208776118239E-2</v>
      </c>
      <c r="U669" s="1">
        <f t="shared" si="197"/>
        <v>2.4847120602401816E-2</v>
      </c>
    </row>
    <row r="670" spans="1:21" x14ac:dyDescent="0.25">
      <c r="A670" t="s">
        <v>3</v>
      </c>
      <c r="B670">
        <v>1.1266657062374199</v>
      </c>
      <c r="C670">
        <v>1.0922611067961101</v>
      </c>
      <c r="D670">
        <f t="shared" si="198"/>
        <v>3.4404599441309802E-2</v>
      </c>
      <c r="E670" s="1">
        <f t="shared" si="199"/>
        <v>3.1498511873436164E-2</v>
      </c>
      <c r="N670" t="s">
        <v>21</v>
      </c>
      <c r="O670" s="2">
        <f>MAX(U655:U674)</f>
        <v>0.2582531533822679</v>
      </c>
      <c r="U670" s="1">
        <f t="shared" si="197"/>
        <v>2.4379740929893062E-2</v>
      </c>
    </row>
    <row r="671" spans="1:21" x14ac:dyDescent="0.25">
      <c r="A671" t="s">
        <v>4</v>
      </c>
      <c r="B671">
        <v>1.1312264185110601</v>
      </c>
      <c r="C671">
        <v>1.09504855145631</v>
      </c>
      <c r="D671">
        <f t="shared" si="198"/>
        <v>3.6177867054750124E-2</v>
      </c>
      <c r="E671" s="1">
        <f t="shared" si="199"/>
        <v>3.3037683129790926E-2</v>
      </c>
      <c r="N671" t="s">
        <v>22</v>
      </c>
      <c r="O671" s="2">
        <f>AVERAGE(U655:U674)</f>
        <v>4.9760505209719537E-2</v>
      </c>
      <c r="U671" s="1">
        <f t="shared" si="197"/>
        <v>2.6274096224309634E-2</v>
      </c>
    </row>
    <row r="672" spans="1:21" x14ac:dyDescent="0.25">
      <c r="A672" t="s">
        <v>5</v>
      </c>
      <c r="B672">
        <v>1.1307075633802799</v>
      </c>
      <c r="C672">
        <v>1.1046003980582499</v>
      </c>
      <c r="D672">
        <f t="shared" si="198"/>
        <v>2.6107165322029946E-2</v>
      </c>
      <c r="E672" s="1">
        <f t="shared" si="199"/>
        <v>2.3634941077264767E-2</v>
      </c>
      <c r="U672" s="1">
        <f t="shared" si="197"/>
        <v>2.5353933345726228E-2</v>
      </c>
    </row>
    <row r="673" spans="1:25" x14ac:dyDescent="0.25">
      <c r="A673" t="s">
        <v>6</v>
      </c>
      <c r="B673">
        <v>1.1407138008048301</v>
      </c>
      <c r="C673">
        <v>1.11305752621359</v>
      </c>
      <c r="D673">
        <f t="shared" si="198"/>
        <v>2.7656274591240093E-2</v>
      </c>
      <c r="E673" s="1">
        <f t="shared" si="199"/>
        <v>2.4847120602401816E-2</v>
      </c>
      <c r="U673" s="1">
        <f t="shared" si="197"/>
        <v>1.6928208776118239E-2</v>
      </c>
    </row>
    <row r="674" spans="1:25" x14ac:dyDescent="0.25">
      <c r="A674" t="s">
        <v>7</v>
      </c>
      <c r="B674">
        <v>1.1436204607645799</v>
      </c>
      <c r="C674">
        <v>1.1164028485436901</v>
      </c>
      <c r="D674">
        <f t="shared" si="198"/>
        <v>2.7217612220889809E-2</v>
      </c>
      <c r="E674" s="1">
        <f t="shared" si="199"/>
        <v>2.4379740929893062E-2</v>
      </c>
      <c r="U674" s="1">
        <f t="shared" si="197"/>
        <v>0.23576031538301748</v>
      </c>
    </row>
    <row r="675" spans="1:25" x14ac:dyDescent="0.25">
      <c r="A675" t="s">
        <v>8</v>
      </c>
      <c r="B675">
        <v>1.1536798289738399</v>
      </c>
      <c r="C675">
        <v>1.1241439623374101</v>
      </c>
      <c r="D675">
        <f t="shared" si="198"/>
        <v>2.9535866636429819E-2</v>
      </c>
      <c r="E675" s="1">
        <f t="shared" si="199"/>
        <v>2.6274096224309634E-2</v>
      </c>
    </row>
    <row r="676" spans="1:25" x14ac:dyDescent="0.25">
      <c r="A676" t="s">
        <v>9</v>
      </c>
      <c r="B676">
        <v>1.1804958289738401</v>
      </c>
      <c r="C676">
        <v>1.15130570097087</v>
      </c>
      <c r="D676">
        <f t="shared" si="198"/>
        <v>2.9190128002970051E-2</v>
      </c>
      <c r="E676" s="1">
        <f t="shared" si="199"/>
        <v>2.5353933345726228E-2</v>
      </c>
    </row>
    <row r="677" spans="1:25" x14ac:dyDescent="0.25">
      <c r="A677" t="s">
        <v>10</v>
      </c>
      <c r="B677">
        <v>1.2408041167002</v>
      </c>
      <c r="C677">
        <v>1.22014917669903</v>
      </c>
      <c r="D677">
        <f t="shared" si="198"/>
        <v>2.0654940001169964E-2</v>
      </c>
      <c r="E677" s="1">
        <f t="shared" si="199"/>
        <v>1.6928208776118239E-2</v>
      </c>
    </row>
    <row r="678" spans="1:25" x14ac:dyDescent="0.25">
      <c r="A678" t="s">
        <v>11</v>
      </c>
      <c r="B678">
        <v>2.1512090643863102</v>
      </c>
      <c r="C678">
        <v>1.7407979829159299</v>
      </c>
      <c r="D678">
        <f t="shared" si="198"/>
        <v>0.4104110814703803</v>
      </c>
      <c r="E678" s="1">
        <f t="shared" si="199"/>
        <v>0.23576031538301748</v>
      </c>
    </row>
    <row r="680" spans="1:25" x14ac:dyDescent="0.25">
      <c r="A680" s="6" t="s">
        <v>53</v>
      </c>
      <c r="B680" s="6"/>
    </row>
    <row r="682" spans="1:25" x14ac:dyDescent="0.25">
      <c r="A682" t="s">
        <v>1</v>
      </c>
      <c r="B682" t="s">
        <v>12</v>
      </c>
      <c r="C682" t="s">
        <v>13</v>
      </c>
      <c r="E682" t="s">
        <v>15</v>
      </c>
      <c r="I682" t="s">
        <v>16</v>
      </c>
      <c r="J682" t="s">
        <v>17</v>
      </c>
      <c r="K682" t="s">
        <v>18</v>
      </c>
      <c r="U682" s="1">
        <f t="shared" ref="U682:U691" si="200">J683</f>
        <v>0.2488792845812548</v>
      </c>
      <c r="W682" s="2">
        <f>O696</f>
        <v>0.18046091184724769</v>
      </c>
      <c r="X682" s="2">
        <f>O697</f>
        <v>0.5897236388345618</v>
      </c>
      <c r="Y682" s="2">
        <f>O698</f>
        <v>0.29204597139298827</v>
      </c>
    </row>
    <row r="683" spans="1:25" x14ac:dyDescent="0.25">
      <c r="A683" t="s">
        <v>2</v>
      </c>
      <c r="B683">
        <v>2.7162500000000001</v>
      </c>
      <c r="C683">
        <v>2.1749499999999999</v>
      </c>
      <c r="D683">
        <f t="shared" ref="D683:D692" si="201">B683-C683</f>
        <v>0.54130000000000011</v>
      </c>
      <c r="E683" s="1">
        <f t="shared" ref="E683:E692" si="202">D683/C683</f>
        <v>0.2488792845812548</v>
      </c>
      <c r="I683" t="s">
        <v>2</v>
      </c>
      <c r="J683" s="1">
        <f t="shared" ref="J683:J692" si="203">E683</f>
        <v>0.2488792845812548</v>
      </c>
      <c r="K683" s="1">
        <f t="shared" ref="K683:K692" si="204">E696</f>
        <v>0.20042759603669044</v>
      </c>
      <c r="U683" s="1">
        <f t="shared" si="200"/>
        <v>0.35307138904261209</v>
      </c>
    </row>
    <row r="684" spans="1:25" x14ac:dyDescent="0.25">
      <c r="A684" t="s">
        <v>3</v>
      </c>
      <c r="B684">
        <v>2.9340000000000002</v>
      </c>
      <c r="C684">
        <v>2.1684000000000001</v>
      </c>
      <c r="D684">
        <f t="shared" si="201"/>
        <v>0.76560000000000006</v>
      </c>
      <c r="E684" s="1">
        <f t="shared" si="202"/>
        <v>0.35307138904261209</v>
      </c>
      <c r="I684" t="s">
        <v>3</v>
      </c>
      <c r="J684" s="1">
        <f t="shared" si="203"/>
        <v>0.35307138904261209</v>
      </c>
      <c r="K684" s="1">
        <f t="shared" si="204"/>
        <v>0.36299114554510226</v>
      </c>
      <c r="U684" s="1">
        <f t="shared" si="200"/>
        <v>0.30118012364093483</v>
      </c>
    </row>
    <row r="685" spans="1:25" x14ac:dyDescent="0.25">
      <c r="A685" t="s">
        <v>4</v>
      </c>
      <c r="B685">
        <v>2.7740900000000002</v>
      </c>
      <c r="C685">
        <v>2.13198</v>
      </c>
      <c r="D685">
        <f t="shared" si="201"/>
        <v>0.64211000000000018</v>
      </c>
      <c r="E685" s="1">
        <f t="shared" si="202"/>
        <v>0.30118012364093483</v>
      </c>
      <c r="I685" t="s">
        <v>4</v>
      </c>
      <c r="J685" s="1">
        <f t="shared" si="203"/>
        <v>0.30118012364093483</v>
      </c>
      <c r="K685" s="1">
        <f t="shared" si="204"/>
        <v>0.30601600390247574</v>
      </c>
      <c r="U685" s="1">
        <f t="shared" si="200"/>
        <v>0.25996827754398505</v>
      </c>
    </row>
    <row r="686" spans="1:25" x14ac:dyDescent="0.25">
      <c r="A686" t="s">
        <v>5</v>
      </c>
      <c r="B686">
        <v>2.7485200000000001</v>
      </c>
      <c r="C686">
        <v>2.1814200000000001</v>
      </c>
      <c r="D686">
        <f t="shared" si="201"/>
        <v>0.56709999999999994</v>
      </c>
      <c r="E686" s="1">
        <f t="shared" si="202"/>
        <v>0.25996827754398505</v>
      </c>
      <c r="I686" t="s">
        <v>5</v>
      </c>
      <c r="J686" s="1">
        <f t="shared" si="203"/>
        <v>0.25996827754398505</v>
      </c>
      <c r="K686" s="1">
        <f t="shared" si="204"/>
        <v>0.24154449853764975</v>
      </c>
      <c r="U686" s="1">
        <f t="shared" si="200"/>
        <v>0.30204654404354914</v>
      </c>
    </row>
    <row r="687" spans="1:25" x14ac:dyDescent="0.25">
      <c r="A687" t="s">
        <v>6</v>
      </c>
      <c r="B687">
        <v>2.7650000000000001</v>
      </c>
      <c r="C687">
        <v>2.12358</v>
      </c>
      <c r="D687">
        <f t="shared" si="201"/>
        <v>0.6414200000000001</v>
      </c>
      <c r="E687" s="1">
        <f t="shared" si="202"/>
        <v>0.30204654404354914</v>
      </c>
      <c r="I687" t="s">
        <v>6</v>
      </c>
      <c r="J687" s="1">
        <f t="shared" si="203"/>
        <v>0.30204654404354914</v>
      </c>
      <c r="K687" s="1">
        <f t="shared" si="204"/>
        <v>0.28265005321202863</v>
      </c>
      <c r="U687" s="1">
        <f t="shared" si="200"/>
        <v>0.37119741545860457</v>
      </c>
    </row>
    <row r="688" spans="1:25" x14ac:dyDescent="0.25">
      <c r="A688" t="s">
        <v>7</v>
      </c>
      <c r="B688">
        <v>2.9879899999999999</v>
      </c>
      <c r="C688">
        <v>2.1791100000000001</v>
      </c>
      <c r="D688">
        <f t="shared" si="201"/>
        <v>0.80887999999999982</v>
      </c>
      <c r="E688" s="1">
        <f t="shared" si="202"/>
        <v>0.37119741545860457</v>
      </c>
      <c r="I688" t="s">
        <v>7</v>
      </c>
      <c r="J688" s="1">
        <f t="shared" si="203"/>
        <v>0.37119741545860457</v>
      </c>
      <c r="K688" s="1">
        <f t="shared" si="204"/>
        <v>0.24261739884631803</v>
      </c>
      <c r="U688" s="1">
        <f t="shared" si="200"/>
        <v>0.18944616849455162</v>
      </c>
    </row>
    <row r="689" spans="1:21" x14ac:dyDescent="0.25">
      <c r="A689" t="s">
        <v>8</v>
      </c>
      <c r="B689">
        <v>2.6983299999999999</v>
      </c>
      <c r="C689">
        <v>2.2685599999999999</v>
      </c>
      <c r="D689">
        <f t="shared" si="201"/>
        <v>0.42976999999999999</v>
      </c>
      <c r="E689" s="1">
        <f t="shared" si="202"/>
        <v>0.18944616849455162</v>
      </c>
      <c r="I689" t="s">
        <v>8</v>
      </c>
      <c r="J689" s="1">
        <f t="shared" si="203"/>
        <v>0.18944616849455162</v>
      </c>
      <c r="K689" s="1">
        <f t="shared" si="204"/>
        <v>0.21517614698310825</v>
      </c>
      <c r="U689" s="1">
        <f t="shared" si="200"/>
        <v>0.1805841496798716</v>
      </c>
    </row>
    <row r="690" spans="1:21" x14ac:dyDescent="0.25">
      <c r="A690" t="s">
        <v>9</v>
      </c>
      <c r="B690">
        <v>2.6091500000000001</v>
      </c>
      <c r="C690">
        <v>2.2100499999999998</v>
      </c>
      <c r="D690">
        <f t="shared" si="201"/>
        <v>0.39910000000000023</v>
      </c>
      <c r="E690" s="1">
        <f t="shared" si="202"/>
        <v>0.1805841496798716</v>
      </c>
      <c r="I690" t="s">
        <v>9</v>
      </c>
      <c r="J690" s="1">
        <f t="shared" si="203"/>
        <v>0.1805841496798716</v>
      </c>
      <c r="K690" s="1">
        <f t="shared" si="204"/>
        <v>0.24070948621071939</v>
      </c>
      <c r="U690" s="1">
        <f t="shared" si="200"/>
        <v>0.21029482569412217</v>
      </c>
    </row>
    <row r="691" spans="1:21" x14ac:dyDescent="0.25">
      <c r="A691" t="s">
        <v>10</v>
      </c>
      <c r="B691">
        <v>2.7902499999999999</v>
      </c>
      <c r="C691">
        <v>2.3054299999999999</v>
      </c>
      <c r="D691">
        <f t="shared" si="201"/>
        <v>0.48482000000000003</v>
      </c>
      <c r="E691" s="1">
        <f t="shared" si="202"/>
        <v>0.21029482569412217</v>
      </c>
      <c r="I691" t="s">
        <v>10</v>
      </c>
      <c r="J691" s="1">
        <f t="shared" si="203"/>
        <v>0.21029482569412217</v>
      </c>
      <c r="K691" s="1">
        <f t="shared" si="204"/>
        <v>0.18046091184724769</v>
      </c>
      <c r="U691" s="1">
        <f t="shared" si="200"/>
        <v>0.56193436972437827</v>
      </c>
    </row>
    <row r="692" spans="1:21" x14ac:dyDescent="0.25">
      <c r="A692" t="s">
        <v>11</v>
      </c>
      <c r="B692">
        <v>8.8727400000000003</v>
      </c>
      <c r="C692">
        <v>5.6806099999999997</v>
      </c>
      <c r="D692">
        <f t="shared" si="201"/>
        <v>3.1921300000000006</v>
      </c>
      <c r="E692" s="1">
        <f t="shared" si="202"/>
        <v>0.56193436972437827</v>
      </c>
      <c r="I692" t="s">
        <v>11</v>
      </c>
      <c r="J692" s="1">
        <f t="shared" si="203"/>
        <v>0.56193436972437827</v>
      </c>
      <c r="K692" s="1">
        <f t="shared" si="204"/>
        <v>0.5897236388345618</v>
      </c>
      <c r="U692" s="1">
        <f t="shared" ref="U692:U701" si="205">K683</f>
        <v>0.20042759603669044</v>
      </c>
    </row>
    <row r="693" spans="1:21" x14ac:dyDescent="0.25">
      <c r="U693" s="1">
        <f t="shared" si="205"/>
        <v>0.36299114554510226</v>
      </c>
    </row>
    <row r="694" spans="1:21" x14ac:dyDescent="0.25">
      <c r="U694" s="1">
        <f t="shared" si="205"/>
        <v>0.30601600390247574</v>
      </c>
    </row>
    <row r="695" spans="1:21" x14ac:dyDescent="0.25">
      <c r="A695" t="s">
        <v>1</v>
      </c>
      <c r="B695" t="s">
        <v>14</v>
      </c>
      <c r="C695" t="s">
        <v>13</v>
      </c>
      <c r="I695" t="s">
        <v>19</v>
      </c>
      <c r="J695" s="2">
        <f>AVERAGE(J683:J692)</f>
        <v>0.29786025479038641</v>
      </c>
      <c r="K695" s="2">
        <f>AVERAGE(K683:K692)</f>
        <v>0.28623168799559018</v>
      </c>
      <c r="U695" s="1">
        <f t="shared" si="205"/>
        <v>0.24154449853764975</v>
      </c>
    </row>
    <row r="696" spans="1:21" x14ac:dyDescent="0.25">
      <c r="A696" t="s">
        <v>2</v>
      </c>
      <c r="B696">
        <v>2.6108699999999998</v>
      </c>
      <c r="C696">
        <v>2.1749499999999999</v>
      </c>
      <c r="D696">
        <f t="shared" ref="D696:D705" si="206">B696-C696</f>
        <v>0.43591999999999986</v>
      </c>
      <c r="E696" s="1">
        <f t="shared" ref="E696:E705" si="207">D696/C696</f>
        <v>0.20042759603669044</v>
      </c>
      <c r="N696" t="s">
        <v>20</v>
      </c>
      <c r="O696" s="2">
        <f>MIN(U682:U701)</f>
        <v>0.18046091184724769</v>
      </c>
      <c r="U696" s="1">
        <f t="shared" si="205"/>
        <v>0.28265005321202863</v>
      </c>
    </row>
    <row r="697" spans="1:21" x14ac:dyDescent="0.25">
      <c r="A697" t="s">
        <v>3</v>
      </c>
      <c r="B697">
        <v>2.9555099999999999</v>
      </c>
      <c r="C697">
        <v>2.1684000000000001</v>
      </c>
      <c r="D697">
        <f t="shared" si="206"/>
        <v>0.78710999999999975</v>
      </c>
      <c r="E697" s="1">
        <f t="shared" si="207"/>
        <v>0.36299114554510226</v>
      </c>
      <c r="N697" t="s">
        <v>21</v>
      </c>
      <c r="O697" s="2">
        <f>MAX(U682:U701)</f>
        <v>0.5897236388345618</v>
      </c>
      <c r="U697" s="1">
        <f t="shared" si="205"/>
        <v>0.24261739884631803</v>
      </c>
    </row>
    <row r="698" spans="1:21" x14ac:dyDescent="0.25">
      <c r="A698" t="s">
        <v>4</v>
      </c>
      <c r="B698">
        <v>2.7844000000000002</v>
      </c>
      <c r="C698">
        <v>2.13198</v>
      </c>
      <c r="D698">
        <f t="shared" si="206"/>
        <v>0.65242000000000022</v>
      </c>
      <c r="E698" s="1">
        <f t="shared" si="207"/>
        <v>0.30601600390247574</v>
      </c>
      <c r="N698" t="s">
        <v>22</v>
      </c>
      <c r="O698" s="2">
        <f>AVERAGE(U682:U701)</f>
        <v>0.29204597139298827</v>
      </c>
      <c r="U698" s="1">
        <f t="shared" si="205"/>
        <v>0.21517614698310825</v>
      </c>
    </row>
    <row r="699" spans="1:21" x14ac:dyDescent="0.25">
      <c r="A699" t="s">
        <v>5</v>
      </c>
      <c r="B699">
        <v>2.7083300000000001</v>
      </c>
      <c r="C699">
        <v>2.1814200000000001</v>
      </c>
      <c r="D699">
        <f t="shared" si="206"/>
        <v>0.52690999999999999</v>
      </c>
      <c r="E699" s="1">
        <f t="shared" si="207"/>
        <v>0.24154449853764975</v>
      </c>
      <c r="U699" s="1">
        <f t="shared" si="205"/>
        <v>0.24070948621071939</v>
      </c>
    </row>
    <row r="700" spans="1:21" x14ac:dyDescent="0.25">
      <c r="A700" t="s">
        <v>6</v>
      </c>
      <c r="B700">
        <v>2.7238099999999998</v>
      </c>
      <c r="C700">
        <v>2.12358</v>
      </c>
      <c r="D700">
        <f t="shared" si="206"/>
        <v>0.60022999999999982</v>
      </c>
      <c r="E700" s="1">
        <f t="shared" si="207"/>
        <v>0.28265005321202863</v>
      </c>
      <c r="U700" s="1">
        <f t="shared" si="205"/>
        <v>0.18046091184724769</v>
      </c>
    </row>
    <row r="701" spans="1:21" x14ac:dyDescent="0.25">
      <c r="A701" t="s">
        <v>7</v>
      </c>
      <c r="B701">
        <v>2.7078000000000002</v>
      </c>
      <c r="C701">
        <v>2.1791100000000001</v>
      </c>
      <c r="D701">
        <f t="shared" si="206"/>
        <v>0.5286900000000001</v>
      </c>
      <c r="E701" s="1">
        <f t="shared" si="207"/>
        <v>0.24261739884631803</v>
      </c>
      <c r="U701" s="1">
        <f t="shared" si="205"/>
        <v>0.5897236388345618</v>
      </c>
    </row>
    <row r="702" spans="1:21" x14ac:dyDescent="0.25">
      <c r="A702" t="s">
        <v>8</v>
      </c>
      <c r="B702">
        <v>2.7566999999999999</v>
      </c>
      <c r="C702">
        <v>2.2685599999999999</v>
      </c>
      <c r="D702">
        <f t="shared" si="206"/>
        <v>0.48814000000000002</v>
      </c>
      <c r="E702" s="1">
        <f t="shared" si="207"/>
        <v>0.21517614698310825</v>
      </c>
    </row>
    <row r="703" spans="1:21" x14ac:dyDescent="0.25">
      <c r="A703" t="s">
        <v>9</v>
      </c>
      <c r="B703">
        <v>2.7420300000000002</v>
      </c>
      <c r="C703">
        <v>2.2100499999999998</v>
      </c>
      <c r="D703">
        <f t="shared" si="206"/>
        <v>0.53198000000000034</v>
      </c>
      <c r="E703" s="1">
        <f t="shared" si="207"/>
        <v>0.24070948621071939</v>
      </c>
    </row>
    <row r="704" spans="1:21" x14ac:dyDescent="0.25">
      <c r="A704" t="s">
        <v>10</v>
      </c>
      <c r="B704">
        <v>2.7214700000000001</v>
      </c>
      <c r="C704">
        <v>2.3054299999999999</v>
      </c>
      <c r="D704">
        <f t="shared" si="206"/>
        <v>0.41604000000000019</v>
      </c>
      <c r="E704" s="1">
        <f t="shared" si="207"/>
        <v>0.18046091184724769</v>
      </c>
    </row>
    <row r="705" spans="1:25" x14ac:dyDescent="0.25">
      <c r="A705" t="s">
        <v>11</v>
      </c>
      <c r="B705">
        <v>9.0305999999999997</v>
      </c>
      <c r="C705">
        <v>5.6806099999999997</v>
      </c>
      <c r="D705">
        <f t="shared" si="206"/>
        <v>3.34999</v>
      </c>
      <c r="E705" s="1">
        <f t="shared" si="207"/>
        <v>0.5897236388345618</v>
      </c>
    </row>
    <row r="707" spans="1:25" x14ac:dyDescent="0.25">
      <c r="A707" s="6" t="s">
        <v>54</v>
      </c>
      <c r="B707" s="6"/>
    </row>
    <row r="709" spans="1:25" x14ac:dyDescent="0.25">
      <c r="A709" t="s">
        <v>1</v>
      </c>
      <c r="B709" t="s">
        <v>12</v>
      </c>
      <c r="C709" t="s">
        <v>13</v>
      </c>
      <c r="E709" t="s">
        <v>15</v>
      </c>
      <c r="I709" t="s">
        <v>16</v>
      </c>
      <c r="J709" t="s">
        <v>17</v>
      </c>
      <c r="K709" t="s">
        <v>18</v>
      </c>
      <c r="U709" s="1">
        <f t="shared" ref="U709:U718" si="208">J710</f>
        <v>6.6222699448631794E-2</v>
      </c>
      <c r="W709" s="2">
        <f>O723</f>
        <v>4.0134464526319559E-2</v>
      </c>
      <c r="X709" s="2">
        <f>O724</f>
        <v>0.35342606803457083</v>
      </c>
      <c r="Y709" s="2">
        <f>O725</f>
        <v>8.9901331573509213E-2</v>
      </c>
    </row>
    <row r="710" spans="1:25" x14ac:dyDescent="0.25">
      <c r="A710" t="s">
        <v>2</v>
      </c>
      <c r="B710">
        <v>1.2066907821541799</v>
      </c>
      <c r="C710">
        <v>1.13174366178678</v>
      </c>
      <c r="D710">
        <f t="shared" ref="D710:D719" si="209">B710-C710</f>
        <v>7.4947120367399922E-2</v>
      </c>
      <c r="E710" s="1">
        <f t="shared" ref="E710:E719" si="210">D710/C710</f>
        <v>6.6222699448631794E-2</v>
      </c>
      <c r="I710" t="s">
        <v>2</v>
      </c>
      <c r="J710" s="1">
        <f t="shared" ref="J710:J719" si="211">E710</f>
        <v>6.6222699448631794E-2</v>
      </c>
      <c r="K710" s="1">
        <f t="shared" ref="K710:K719" si="212">E723</f>
        <v>7.2917443231449164E-2</v>
      </c>
      <c r="U710" s="1">
        <f t="shared" si="208"/>
        <v>7.0673270344705164E-2</v>
      </c>
    </row>
    <row r="711" spans="1:25" x14ac:dyDescent="0.25">
      <c r="A711" t="s">
        <v>3</v>
      </c>
      <c r="B711">
        <v>1.21381389080728</v>
      </c>
      <c r="C711">
        <v>1.1336921584084101</v>
      </c>
      <c r="D711">
        <f t="shared" si="209"/>
        <v>8.0121732398869883E-2</v>
      </c>
      <c r="E711" s="1">
        <f t="shared" si="210"/>
        <v>7.0673270344705164E-2</v>
      </c>
      <c r="I711" t="s">
        <v>3</v>
      </c>
      <c r="J711" s="1">
        <f t="shared" si="211"/>
        <v>7.0673270344705164E-2</v>
      </c>
      <c r="K711" s="1">
        <f t="shared" si="212"/>
        <v>7.7489649851086168E-2</v>
      </c>
      <c r="U711" s="1">
        <f t="shared" si="208"/>
        <v>6.5530434069969418E-2</v>
      </c>
    </row>
    <row r="712" spans="1:25" x14ac:dyDescent="0.25">
      <c r="A712" t="s">
        <v>4</v>
      </c>
      <c r="B712">
        <v>1.2391064747059899</v>
      </c>
      <c r="C712">
        <v>1.1629010632507399</v>
      </c>
      <c r="D712">
        <f t="shared" si="209"/>
        <v>7.620541145524995E-2</v>
      </c>
      <c r="E712" s="1">
        <f t="shared" si="210"/>
        <v>6.5530434069969418E-2</v>
      </c>
      <c r="I712" t="s">
        <v>4</v>
      </c>
      <c r="J712" s="1">
        <f t="shared" si="211"/>
        <v>6.5530434069969418E-2</v>
      </c>
      <c r="K712" s="1">
        <f t="shared" si="212"/>
        <v>6.1755558280021529E-2</v>
      </c>
      <c r="U712" s="1">
        <f t="shared" si="208"/>
        <v>6.0925251781472997E-2</v>
      </c>
    </row>
    <row r="713" spans="1:25" x14ac:dyDescent="0.25">
      <c r="A713" t="s">
        <v>5</v>
      </c>
      <c r="B713">
        <v>1.2376494381183401</v>
      </c>
      <c r="C713">
        <v>1.1665755302177201</v>
      </c>
      <c r="D713">
        <f t="shared" si="209"/>
        <v>7.1073907900619959E-2</v>
      </c>
      <c r="E713" s="1">
        <f t="shared" si="210"/>
        <v>6.0925251781472997E-2</v>
      </c>
      <c r="I713" t="s">
        <v>5</v>
      </c>
      <c r="J713" s="1">
        <f t="shared" si="211"/>
        <v>6.0925251781472997E-2</v>
      </c>
      <c r="K713" s="1">
        <f t="shared" si="212"/>
        <v>6.1534994854231521E-2</v>
      </c>
      <c r="U713" s="1">
        <f t="shared" si="208"/>
        <v>6.503616745831986E-2</v>
      </c>
    </row>
    <row r="714" spans="1:25" x14ac:dyDescent="0.25">
      <c r="A714" t="s">
        <v>6</v>
      </c>
      <c r="B714">
        <v>1.2469789575361601</v>
      </c>
      <c r="C714">
        <v>1.17083249906155</v>
      </c>
      <c r="D714">
        <f t="shared" si="209"/>
        <v>7.6146458474610101E-2</v>
      </c>
      <c r="E714" s="1">
        <f t="shared" si="210"/>
        <v>6.503616745831986E-2</v>
      </c>
      <c r="I714" t="s">
        <v>6</v>
      </c>
      <c r="J714" s="1">
        <f t="shared" si="211"/>
        <v>6.503616745831986E-2</v>
      </c>
      <c r="K714" s="1">
        <f t="shared" si="212"/>
        <v>6.209652545652309E-2</v>
      </c>
      <c r="U714" s="1">
        <f t="shared" si="208"/>
        <v>6.1003440776489282E-2</v>
      </c>
    </row>
    <row r="715" spans="1:25" x14ac:dyDescent="0.25">
      <c r="A715" t="s">
        <v>7</v>
      </c>
      <c r="B715">
        <v>1.24849382676871</v>
      </c>
      <c r="C715">
        <v>1.17671044106606</v>
      </c>
      <c r="D715">
        <f t="shared" si="209"/>
        <v>7.1783385702649971E-2</v>
      </c>
      <c r="E715" s="1">
        <f t="shared" si="210"/>
        <v>6.1003440776489282E-2</v>
      </c>
      <c r="I715" t="s">
        <v>7</v>
      </c>
      <c r="J715" s="1">
        <f t="shared" si="211"/>
        <v>6.1003440776489282E-2</v>
      </c>
      <c r="K715" s="1">
        <f t="shared" si="212"/>
        <v>6.6352675012931753E-2</v>
      </c>
      <c r="U715" s="1">
        <f t="shared" si="208"/>
        <v>6.4608434398119197E-2</v>
      </c>
    </row>
    <row r="716" spans="1:25" x14ac:dyDescent="0.25">
      <c r="A716" t="s">
        <v>8</v>
      </c>
      <c r="B716">
        <v>1.25660121325244</v>
      </c>
      <c r="C716">
        <v>1.1803412152777699</v>
      </c>
      <c r="D716">
        <f t="shared" si="209"/>
        <v>7.6259997974670091E-2</v>
      </c>
      <c r="E716" s="1">
        <f t="shared" si="210"/>
        <v>6.4608434398119197E-2</v>
      </c>
      <c r="I716" t="s">
        <v>8</v>
      </c>
      <c r="J716" s="1">
        <f t="shared" si="211"/>
        <v>6.4608434398119197E-2</v>
      </c>
      <c r="K716" s="1">
        <f t="shared" si="212"/>
        <v>6.5932032599561513E-2</v>
      </c>
      <c r="U716" s="1">
        <f t="shared" si="208"/>
        <v>5.0196686234831513E-2</v>
      </c>
    </row>
    <row r="717" spans="1:25" x14ac:dyDescent="0.25">
      <c r="A717" t="s">
        <v>9</v>
      </c>
      <c r="B717">
        <v>1.29622765353742</v>
      </c>
      <c r="C717">
        <v>1.2342713231981901</v>
      </c>
      <c r="D717">
        <f t="shared" si="209"/>
        <v>6.195633033922987E-2</v>
      </c>
      <c r="E717" s="1">
        <f t="shared" si="210"/>
        <v>5.0196686234831513E-2</v>
      </c>
      <c r="I717" t="s">
        <v>9</v>
      </c>
      <c r="J717" s="1">
        <f t="shared" si="211"/>
        <v>5.0196686234831513E-2</v>
      </c>
      <c r="K717" s="1">
        <f t="shared" si="212"/>
        <v>5.0699029012393163E-2</v>
      </c>
      <c r="U717" s="1">
        <f t="shared" si="208"/>
        <v>4.370336531432583E-2</v>
      </c>
    </row>
    <row r="718" spans="1:25" x14ac:dyDescent="0.25">
      <c r="A718" t="s">
        <v>10</v>
      </c>
      <c r="B718">
        <v>1.3706489098376</v>
      </c>
      <c r="C718">
        <v>1.31325523648648</v>
      </c>
      <c r="D718">
        <f t="shared" si="209"/>
        <v>5.739367335112E-2</v>
      </c>
      <c r="E718" s="1">
        <f t="shared" si="210"/>
        <v>4.370336531432583E-2</v>
      </c>
      <c r="I718" t="s">
        <v>10</v>
      </c>
      <c r="J718" s="1">
        <f t="shared" si="211"/>
        <v>4.370336531432583E-2</v>
      </c>
      <c r="K718" s="1">
        <f t="shared" si="212"/>
        <v>4.0134464526319559E-2</v>
      </c>
      <c r="U718" s="1">
        <f t="shared" si="208"/>
        <v>0.33778844078423087</v>
      </c>
    </row>
    <row r="719" spans="1:25" x14ac:dyDescent="0.25">
      <c r="A719" t="s">
        <v>11</v>
      </c>
      <c r="B719">
        <v>2.7115920307979402</v>
      </c>
      <c r="C719">
        <v>2.02692140859609</v>
      </c>
      <c r="D719">
        <f t="shared" si="209"/>
        <v>0.68467062220185015</v>
      </c>
      <c r="E719" s="1">
        <f t="shared" si="210"/>
        <v>0.33778844078423087</v>
      </c>
      <c r="I719" t="s">
        <v>11</v>
      </c>
      <c r="J719" s="1">
        <f t="shared" si="211"/>
        <v>0.33778844078423087</v>
      </c>
      <c r="K719" s="1">
        <f t="shared" si="212"/>
        <v>0.35342606803457083</v>
      </c>
      <c r="U719" s="1">
        <f t="shared" ref="U719:U728" si="213">K710</f>
        <v>7.2917443231449164E-2</v>
      </c>
    </row>
    <row r="720" spans="1:25" x14ac:dyDescent="0.25">
      <c r="U720" s="1">
        <f t="shared" si="213"/>
        <v>7.7489649851086168E-2</v>
      </c>
    </row>
    <row r="721" spans="1:25" x14ac:dyDescent="0.25">
      <c r="U721" s="1">
        <f t="shared" si="213"/>
        <v>6.1755558280021529E-2</v>
      </c>
    </row>
    <row r="722" spans="1:25" x14ac:dyDescent="0.25">
      <c r="A722" t="s">
        <v>1</v>
      </c>
      <c r="B722" t="s">
        <v>14</v>
      </c>
      <c r="C722" t="s">
        <v>13</v>
      </c>
      <c r="I722" t="s">
        <v>19</v>
      </c>
      <c r="J722" s="2">
        <f>AVERAGE(J710:J719)</f>
        <v>8.8568819061109597E-2</v>
      </c>
      <c r="K722" s="2">
        <f>AVERAGE(K710:K719)</f>
        <v>9.1233844085908816E-2</v>
      </c>
      <c r="U722" s="1">
        <f t="shared" si="213"/>
        <v>6.1534994854231521E-2</v>
      </c>
    </row>
    <row r="723" spans="1:25" x14ac:dyDescent="0.25">
      <c r="A723" t="s">
        <v>2</v>
      </c>
      <c r="B723">
        <v>1.2142675159976699</v>
      </c>
      <c r="C723">
        <v>1.13174366178678</v>
      </c>
      <c r="D723">
        <f t="shared" ref="D723:D732" si="214">B723-C723</f>
        <v>8.2523854210889924E-2</v>
      </c>
      <c r="E723" s="1">
        <f t="shared" ref="E723:E732" si="215">D723/C723</f>
        <v>7.2917443231449164E-2</v>
      </c>
      <c r="N723" t="s">
        <v>20</v>
      </c>
      <c r="O723" s="2">
        <f>MIN(U709:U728)</f>
        <v>4.0134464526319559E-2</v>
      </c>
      <c r="U723" s="1">
        <f t="shared" si="213"/>
        <v>6.209652545652309E-2</v>
      </c>
    </row>
    <row r="724" spans="1:25" x14ac:dyDescent="0.25">
      <c r="A724" t="s">
        <v>3</v>
      </c>
      <c r="B724">
        <v>1.2215415668023999</v>
      </c>
      <c r="C724">
        <v>1.1336921584084101</v>
      </c>
      <c r="D724">
        <f t="shared" si="214"/>
        <v>8.7849408393989803E-2</v>
      </c>
      <c r="E724" s="1">
        <f t="shared" si="215"/>
        <v>7.7489649851086168E-2</v>
      </c>
      <c r="N724" t="s">
        <v>21</v>
      </c>
      <c r="O724" s="2">
        <f>MAX(U709:U728)</f>
        <v>0.35342606803457083</v>
      </c>
      <c r="U724" s="1">
        <f t="shared" si="213"/>
        <v>6.6352675012931753E-2</v>
      </c>
    </row>
    <row r="725" spans="1:25" x14ac:dyDescent="0.25">
      <c r="A725" t="s">
        <v>4</v>
      </c>
      <c r="B725">
        <v>1.23471666763622</v>
      </c>
      <c r="C725">
        <v>1.1629010632507399</v>
      </c>
      <c r="D725">
        <f t="shared" si="214"/>
        <v>7.181560438548007E-2</v>
      </c>
      <c r="E725" s="1">
        <f t="shared" si="215"/>
        <v>6.1755558280021529E-2</v>
      </c>
      <c r="N725" t="s">
        <v>22</v>
      </c>
      <c r="O725" s="2">
        <f>AVERAGE(U709:U728)</f>
        <v>8.9901331573509213E-2</v>
      </c>
      <c r="U725" s="1">
        <f t="shared" si="213"/>
        <v>6.5932032599561513E-2</v>
      </c>
    </row>
    <row r="726" spans="1:25" x14ac:dyDescent="0.25">
      <c r="A726" t="s">
        <v>5</v>
      </c>
      <c r="B726">
        <v>1.2383607494667399</v>
      </c>
      <c r="C726">
        <v>1.1665755302177201</v>
      </c>
      <c r="D726">
        <f t="shared" si="214"/>
        <v>7.1785219249019816E-2</v>
      </c>
      <c r="E726" s="1">
        <f t="shared" si="215"/>
        <v>6.1534994854231521E-2</v>
      </c>
      <c r="U726" s="1">
        <f t="shared" si="213"/>
        <v>5.0699029012393163E-2</v>
      </c>
    </row>
    <row r="727" spans="1:25" x14ac:dyDescent="0.25">
      <c r="A727" t="s">
        <v>6</v>
      </c>
      <c r="B727">
        <v>1.24353712914485</v>
      </c>
      <c r="C727">
        <v>1.17083249906155</v>
      </c>
      <c r="D727">
        <f t="shared" si="214"/>
        <v>7.2704630083300081E-2</v>
      </c>
      <c r="E727" s="1">
        <f t="shared" si="215"/>
        <v>6.209652545652309E-2</v>
      </c>
      <c r="U727" s="1">
        <f t="shared" si="213"/>
        <v>4.0134464526319559E-2</v>
      </c>
    </row>
    <row r="728" spans="1:25" x14ac:dyDescent="0.25">
      <c r="A728" t="s">
        <v>7</v>
      </c>
      <c r="B728">
        <v>1.2547883265464399</v>
      </c>
      <c r="C728">
        <v>1.17671044106606</v>
      </c>
      <c r="D728">
        <f t="shared" si="214"/>
        <v>7.8077885480379861E-2</v>
      </c>
      <c r="E728" s="1">
        <f t="shared" si="215"/>
        <v>6.6352675012931753E-2</v>
      </c>
      <c r="U728" s="1">
        <f t="shared" si="213"/>
        <v>0.35342606803457083</v>
      </c>
    </row>
    <row r="729" spans="1:25" x14ac:dyDescent="0.25">
      <c r="A729" t="s">
        <v>8</v>
      </c>
      <c r="B729">
        <v>1.2581635107620699</v>
      </c>
      <c r="C729">
        <v>1.1803412152777699</v>
      </c>
      <c r="D729">
        <f t="shared" si="214"/>
        <v>7.7822295484299975E-2</v>
      </c>
      <c r="E729" s="1">
        <f t="shared" si="215"/>
        <v>6.5932032599561513E-2</v>
      </c>
    </row>
    <row r="730" spans="1:25" x14ac:dyDescent="0.25">
      <c r="A730" t="s">
        <v>9</v>
      </c>
      <c r="B730">
        <v>1.29684768082218</v>
      </c>
      <c r="C730">
        <v>1.2342713231981901</v>
      </c>
      <c r="D730">
        <f t="shared" si="214"/>
        <v>6.2576357623989942E-2</v>
      </c>
      <c r="E730" s="1">
        <f t="shared" si="215"/>
        <v>5.0699029012393163E-2</v>
      </c>
    </row>
    <row r="731" spans="1:25" x14ac:dyDescent="0.25">
      <c r="A731" t="s">
        <v>10</v>
      </c>
      <c r="B731">
        <v>1.3659620321892501</v>
      </c>
      <c r="C731">
        <v>1.31325523648648</v>
      </c>
      <c r="D731">
        <f t="shared" si="214"/>
        <v>5.2706795702770037E-2</v>
      </c>
      <c r="E731" s="1">
        <f t="shared" si="215"/>
        <v>4.0134464526319559E-2</v>
      </c>
    </row>
    <row r="732" spans="1:25" x14ac:dyDescent="0.25">
      <c r="A732" t="s">
        <v>11</v>
      </c>
      <c r="B732">
        <v>2.7432882722512999</v>
      </c>
      <c r="C732">
        <v>2.02692140859609</v>
      </c>
      <c r="D732">
        <f t="shared" si="214"/>
        <v>0.71636686365520985</v>
      </c>
      <c r="E732" s="1">
        <f t="shared" si="215"/>
        <v>0.35342606803457083</v>
      </c>
    </row>
    <row r="734" spans="1:25" x14ac:dyDescent="0.25">
      <c r="A734" s="6" t="s">
        <v>55</v>
      </c>
      <c r="B734" s="6"/>
    </row>
    <row r="736" spans="1:25" x14ac:dyDescent="0.25">
      <c r="A736" t="s">
        <v>1</v>
      </c>
      <c r="B736" t="s">
        <v>12</v>
      </c>
      <c r="C736" t="s">
        <v>13</v>
      </c>
      <c r="E736" t="s">
        <v>15</v>
      </c>
      <c r="I736" t="s">
        <v>16</v>
      </c>
      <c r="J736" t="s">
        <v>17</v>
      </c>
      <c r="K736" t="s">
        <v>18</v>
      </c>
      <c r="U736" s="1">
        <f t="shared" ref="U736:U745" si="216">J737</f>
        <v>0.42052902716081225</v>
      </c>
      <c r="W736" s="2">
        <f>O750</f>
        <v>0.27824621212121198</v>
      </c>
      <c r="X736" s="2">
        <f>O751</f>
        <v>0.8954544435943157</v>
      </c>
      <c r="Y736" s="2">
        <f>O752</f>
        <v>0.43901010253694944</v>
      </c>
    </row>
    <row r="737" spans="1:21" x14ac:dyDescent="0.25">
      <c r="A737" t="s">
        <v>2</v>
      </c>
      <c r="B737">
        <v>3.5240200000000002</v>
      </c>
      <c r="C737">
        <v>2.4807800000000002</v>
      </c>
      <c r="D737">
        <f t="shared" ref="D737:D746" si="217">B737-C737</f>
        <v>1.0432399999999999</v>
      </c>
      <c r="E737" s="1">
        <f t="shared" ref="E737:E746" si="218">D737/C737</f>
        <v>0.42052902716081225</v>
      </c>
      <c r="I737" t="s">
        <v>2</v>
      </c>
      <c r="J737" s="1">
        <f t="shared" ref="J737:J746" si="219">E737</f>
        <v>0.42052902716081225</v>
      </c>
      <c r="K737" s="1">
        <f t="shared" ref="K737:K746" si="220">E750</f>
        <v>0.45843242851038785</v>
      </c>
      <c r="U737" s="1">
        <f t="shared" si="216"/>
        <v>0.41621373126556122</v>
      </c>
    </row>
    <row r="738" spans="1:21" x14ac:dyDescent="0.25">
      <c r="A738" t="s">
        <v>3</v>
      </c>
      <c r="B738">
        <v>3.4811100000000001</v>
      </c>
      <c r="C738">
        <v>2.45804</v>
      </c>
      <c r="D738">
        <f t="shared" si="217"/>
        <v>1.0230700000000001</v>
      </c>
      <c r="E738" s="1">
        <f t="shared" si="218"/>
        <v>0.41621373126556122</v>
      </c>
      <c r="I738" t="s">
        <v>3</v>
      </c>
      <c r="J738" s="1">
        <f t="shared" si="219"/>
        <v>0.41621373126556122</v>
      </c>
      <c r="K738" s="1">
        <f t="shared" si="220"/>
        <v>0.43998877154155352</v>
      </c>
      <c r="U738" s="1">
        <f t="shared" si="216"/>
        <v>0.38333359179938897</v>
      </c>
    </row>
    <row r="739" spans="1:21" x14ac:dyDescent="0.25">
      <c r="A739" t="s">
        <v>4</v>
      </c>
      <c r="B739">
        <v>3.56806</v>
      </c>
      <c r="C739">
        <v>2.5793200000000001</v>
      </c>
      <c r="D739">
        <f t="shared" si="217"/>
        <v>0.98873999999999995</v>
      </c>
      <c r="E739" s="1">
        <f t="shared" si="218"/>
        <v>0.38333359179938897</v>
      </c>
      <c r="I739" t="s">
        <v>4</v>
      </c>
      <c r="J739" s="1">
        <f t="shared" si="219"/>
        <v>0.38333359179938897</v>
      </c>
      <c r="K739" s="1">
        <f t="shared" si="220"/>
        <v>0.37712265248204946</v>
      </c>
      <c r="U739" s="1">
        <f t="shared" si="216"/>
        <v>0.34450711497391046</v>
      </c>
    </row>
    <row r="740" spans="1:21" x14ac:dyDescent="0.25">
      <c r="A740" t="s">
        <v>5</v>
      </c>
      <c r="B740">
        <v>3.4373399999999998</v>
      </c>
      <c r="C740">
        <v>2.5565799999999999</v>
      </c>
      <c r="D740">
        <f t="shared" si="217"/>
        <v>0.88075999999999999</v>
      </c>
      <c r="E740" s="1">
        <f t="shared" si="218"/>
        <v>0.34450711497391046</v>
      </c>
      <c r="I740" t="s">
        <v>5</v>
      </c>
      <c r="J740" s="1">
        <f t="shared" si="219"/>
        <v>0.34450711497391046</v>
      </c>
      <c r="K740" s="1">
        <f t="shared" si="220"/>
        <v>0.3518998036439307</v>
      </c>
      <c r="U740" s="1">
        <f t="shared" si="216"/>
        <v>0.38121064431231116</v>
      </c>
    </row>
    <row r="741" spans="1:21" x14ac:dyDescent="0.25">
      <c r="A741" t="s">
        <v>6</v>
      </c>
      <c r="B741">
        <v>3.5424600000000002</v>
      </c>
      <c r="C741">
        <v>2.5647500000000001</v>
      </c>
      <c r="D741">
        <f t="shared" si="217"/>
        <v>0.97771000000000008</v>
      </c>
      <c r="E741" s="1">
        <f t="shared" si="218"/>
        <v>0.38121064431231116</v>
      </c>
      <c r="I741" t="s">
        <v>6</v>
      </c>
      <c r="J741" s="1">
        <f t="shared" si="219"/>
        <v>0.38121064431231116</v>
      </c>
      <c r="K741" s="1">
        <f t="shared" si="220"/>
        <v>0.391001072229262</v>
      </c>
      <c r="U741" s="1">
        <f t="shared" si="216"/>
        <v>0.42768819280438691</v>
      </c>
    </row>
    <row r="742" spans="1:21" x14ac:dyDescent="0.25">
      <c r="A742" t="s">
        <v>7</v>
      </c>
      <c r="B742">
        <v>3.51227</v>
      </c>
      <c r="C742">
        <v>2.4601099999999998</v>
      </c>
      <c r="D742">
        <f t="shared" si="217"/>
        <v>1.0521600000000002</v>
      </c>
      <c r="E742" s="1">
        <f t="shared" si="218"/>
        <v>0.42768819280438691</v>
      </c>
      <c r="I742" t="s">
        <v>7</v>
      </c>
      <c r="J742" s="1">
        <f t="shared" si="219"/>
        <v>0.42768819280438691</v>
      </c>
      <c r="K742" s="1">
        <f t="shared" si="220"/>
        <v>0.48228331253480555</v>
      </c>
      <c r="U742" s="1">
        <f t="shared" si="216"/>
        <v>0.42852846628708913</v>
      </c>
    </row>
    <row r="743" spans="1:21" x14ac:dyDescent="0.25">
      <c r="A743" t="s">
        <v>8</v>
      </c>
      <c r="B743">
        <v>3.5150800000000002</v>
      </c>
      <c r="C743">
        <v>2.4606300000000001</v>
      </c>
      <c r="D743">
        <f t="shared" si="217"/>
        <v>1.0544500000000001</v>
      </c>
      <c r="E743" s="1">
        <f t="shared" si="218"/>
        <v>0.42852846628708913</v>
      </c>
      <c r="I743" t="s">
        <v>8</v>
      </c>
      <c r="J743" s="1">
        <f t="shared" si="219"/>
        <v>0.42852846628708913</v>
      </c>
      <c r="K743" s="1">
        <f t="shared" si="220"/>
        <v>0.43452693009513821</v>
      </c>
      <c r="U743" s="1">
        <f t="shared" si="216"/>
        <v>0.35603232033661231</v>
      </c>
    </row>
    <row r="744" spans="1:21" x14ac:dyDescent="0.25">
      <c r="A744" t="s">
        <v>9</v>
      </c>
      <c r="B744">
        <v>3.5192700000000001</v>
      </c>
      <c r="C744">
        <v>2.5952700000000002</v>
      </c>
      <c r="D744">
        <f t="shared" si="217"/>
        <v>0.92399999999999993</v>
      </c>
      <c r="E744" s="1">
        <f t="shared" si="218"/>
        <v>0.35603232033661231</v>
      </c>
      <c r="I744" t="s">
        <v>9</v>
      </c>
      <c r="J744" s="1">
        <f t="shared" si="219"/>
        <v>0.35603232033661231</v>
      </c>
      <c r="K744" s="1">
        <f t="shared" si="220"/>
        <v>0.32033275921195098</v>
      </c>
      <c r="U744" s="1">
        <f t="shared" si="216"/>
        <v>0.27824621212121198</v>
      </c>
    </row>
    <row r="745" spans="1:21" x14ac:dyDescent="0.25">
      <c r="A745" t="s">
        <v>10</v>
      </c>
      <c r="B745">
        <v>3.3745699999999998</v>
      </c>
      <c r="C745">
        <v>2.64</v>
      </c>
      <c r="D745">
        <f t="shared" si="217"/>
        <v>0.73456999999999972</v>
      </c>
      <c r="E745" s="1">
        <f t="shared" si="218"/>
        <v>0.27824621212121198</v>
      </c>
      <c r="I745" t="s">
        <v>10</v>
      </c>
      <c r="J745" s="1">
        <f t="shared" si="219"/>
        <v>0.27824621212121198</v>
      </c>
      <c r="K745" s="1">
        <f t="shared" si="220"/>
        <v>0.3192651515151515</v>
      </c>
      <c r="U745" s="1">
        <f t="shared" si="216"/>
        <v>0.8954544435943157</v>
      </c>
    </row>
    <row r="746" spans="1:21" x14ac:dyDescent="0.25">
      <c r="A746" t="s">
        <v>11</v>
      </c>
      <c r="B746">
        <v>11.841699999999999</v>
      </c>
      <c r="C746">
        <v>6.24742</v>
      </c>
      <c r="D746">
        <f t="shared" si="217"/>
        <v>5.5942799999999995</v>
      </c>
      <c r="E746" s="1">
        <f t="shared" si="218"/>
        <v>0.8954544435943157</v>
      </c>
      <c r="I746" t="s">
        <v>11</v>
      </c>
      <c r="J746" s="1">
        <f t="shared" si="219"/>
        <v>0.8954544435943157</v>
      </c>
      <c r="K746" s="1">
        <f t="shared" si="220"/>
        <v>0.87360542431915889</v>
      </c>
      <c r="U746" s="1">
        <f t="shared" ref="U746:U755" si="221">K737</f>
        <v>0.45843242851038785</v>
      </c>
    </row>
    <row r="747" spans="1:21" x14ac:dyDescent="0.25">
      <c r="U747" s="1">
        <f t="shared" si="221"/>
        <v>0.43998877154155352</v>
      </c>
    </row>
    <row r="748" spans="1:21" x14ac:dyDescent="0.25">
      <c r="U748" s="1">
        <f t="shared" si="221"/>
        <v>0.37712265248204946</v>
      </c>
    </row>
    <row r="749" spans="1:21" x14ac:dyDescent="0.25">
      <c r="A749" t="s">
        <v>1</v>
      </c>
      <c r="B749" t="s">
        <v>14</v>
      </c>
      <c r="C749" t="s">
        <v>13</v>
      </c>
      <c r="I749" t="s">
        <v>19</v>
      </c>
      <c r="J749" s="2">
        <f>AVERAGE(J737:J746)</f>
        <v>0.43317437446555995</v>
      </c>
      <c r="K749" s="2">
        <f>AVERAGE(K737:K746)</f>
        <v>0.44484583060833882</v>
      </c>
      <c r="U749" s="1">
        <f t="shared" si="221"/>
        <v>0.3518998036439307</v>
      </c>
    </row>
    <row r="750" spans="1:21" x14ac:dyDescent="0.25">
      <c r="A750" t="s">
        <v>2</v>
      </c>
      <c r="B750">
        <v>3.6180500000000002</v>
      </c>
      <c r="C750">
        <v>2.4807800000000002</v>
      </c>
      <c r="D750">
        <f t="shared" ref="D750:D759" si="222">B750-C750</f>
        <v>1.13727</v>
      </c>
      <c r="E750" s="1">
        <f t="shared" ref="E750:E759" si="223">D750/C750</f>
        <v>0.45843242851038785</v>
      </c>
      <c r="N750" t="s">
        <v>20</v>
      </c>
      <c r="O750" s="2">
        <f>MIN(U736:U755)</f>
        <v>0.27824621212121198</v>
      </c>
      <c r="U750" s="1">
        <f t="shared" si="221"/>
        <v>0.391001072229262</v>
      </c>
    </row>
    <row r="751" spans="1:21" x14ac:dyDescent="0.25">
      <c r="A751" t="s">
        <v>3</v>
      </c>
      <c r="B751">
        <v>3.5395500000000002</v>
      </c>
      <c r="C751">
        <v>2.45804</v>
      </c>
      <c r="D751">
        <f t="shared" si="222"/>
        <v>1.0815100000000002</v>
      </c>
      <c r="E751" s="1">
        <f t="shared" si="223"/>
        <v>0.43998877154155352</v>
      </c>
      <c r="N751" t="s">
        <v>21</v>
      </c>
      <c r="O751" s="2">
        <f>MAX(U736:U755)</f>
        <v>0.8954544435943157</v>
      </c>
      <c r="U751" s="1">
        <f t="shared" si="221"/>
        <v>0.48228331253480555</v>
      </c>
    </row>
    <row r="752" spans="1:21" x14ac:dyDescent="0.25">
      <c r="A752" t="s">
        <v>4</v>
      </c>
      <c r="B752">
        <v>3.5520399999999999</v>
      </c>
      <c r="C752">
        <v>2.5793200000000001</v>
      </c>
      <c r="D752">
        <f t="shared" si="222"/>
        <v>0.97271999999999981</v>
      </c>
      <c r="E752" s="1">
        <f t="shared" si="223"/>
        <v>0.37712265248204946</v>
      </c>
      <c r="N752" t="s">
        <v>22</v>
      </c>
      <c r="O752" s="2">
        <f>AVERAGE(U736:U755)</f>
        <v>0.43901010253694944</v>
      </c>
      <c r="U752" s="1">
        <f t="shared" si="221"/>
        <v>0.43452693009513821</v>
      </c>
    </row>
    <row r="753" spans="1:25" x14ac:dyDescent="0.25">
      <c r="A753" t="s">
        <v>5</v>
      </c>
      <c r="B753">
        <v>3.4562400000000002</v>
      </c>
      <c r="C753">
        <v>2.5565799999999999</v>
      </c>
      <c r="D753">
        <f t="shared" si="222"/>
        <v>0.89966000000000035</v>
      </c>
      <c r="E753" s="1">
        <f t="shared" si="223"/>
        <v>0.3518998036439307</v>
      </c>
      <c r="U753" s="1">
        <f t="shared" si="221"/>
        <v>0.32033275921195098</v>
      </c>
    </row>
    <row r="754" spans="1:25" x14ac:dyDescent="0.25">
      <c r="A754" t="s">
        <v>6</v>
      </c>
      <c r="B754">
        <v>3.5675699999999999</v>
      </c>
      <c r="C754">
        <v>2.5647500000000001</v>
      </c>
      <c r="D754">
        <f t="shared" si="222"/>
        <v>1.0028199999999998</v>
      </c>
      <c r="E754" s="1">
        <f t="shared" si="223"/>
        <v>0.391001072229262</v>
      </c>
      <c r="U754" s="1">
        <f t="shared" si="221"/>
        <v>0.3192651515151515</v>
      </c>
    </row>
    <row r="755" spans="1:25" x14ac:dyDescent="0.25">
      <c r="A755" t="s">
        <v>7</v>
      </c>
      <c r="B755">
        <v>3.6465800000000002</v>
      </c>
      <c r="C755">
        <v>2.4601099999999998</v>
      </c>
      <c r="D755">
        <f t="shared" si="222"/>
        <v>1.1864700000000004</v>
      </c>
      <c r="E755" s="1">
        <f t="shared" si="223"/>
        <v>0.48228331253480555</v>
      </c>
      <c r="U755" s="1">
        <f t="shared" si="221"/>
        <v>0.87360542431915889</v>
      </c>
    </row>
    <row r="756" spans="1:25" x14ac:dyDescent="0.25">
      <c r="A756" t="s">
        <v>8</v>
      </c>
      <c r="B756">
        <v>3.5298400000000001</v>
      </c>
      <c r="C756">
        <v>2.4606300000000001</v>
      </c>
      <c r="D756">
        <f t="shared" si="222"/>
        <v>1.06921</v>
      </c>
      <c r="E756" s="1">
        <f t="shared" si="223"/>
        <v>0.43452693009513821</v>
      </c>
    </row>
    <row r="757" spans="1:25" x14ac:dyDescent="0.25">
      <c r="A757" t="s">
        <v>9</v>
      </c>
      <c r="B757">
        <v>3.4266200000000002</v>
      </c>
      <c r="C757">
        <v>2.5952700000000002</v>
      </c>
      <c r="D757">
        <f t="shared" si="222"/>
        <v>0.83135000000000003</v>
      </c>
      <c r="E757" s="1">
        <f t="shared" si="223"/>
        <v>0.32033275921195098</v>
      </c>
    </row>
    <row r="758" spans="1:25" x14ac:dyDescent="0.25">
      <c r="A758" t="s">
        <v>10</v>
      </c>
      <c r="B758">
        <v>3.4828600000000001</v>
      </c>
      <c r="C758">
        <v>2.64</v>
      </c>
      <c r="D758">
        <f t="shared" si="222"/>
        <v>0.84285999999999994</v>
      </c>
      <c r="E758" s="1">
        <f t="shared" si="223"/>
        <v>0.3192651515151515</v>
      </c>
    </row>
    <row r="759" spans="1:25" x14ac:dyDescent="0.25">
      <c r="A759" t="s">
        <v>11</v>
      </c>
      <c r="B759">
        <v>11.7052</v>
      </c>
      <c r="C759">
        <v>6.24742</v>
      </c>
      <c r="D759">
        <f t="shared" si="222"/>
        <v>5.4577799999999996</v>
      </c>
      <c r="E759" s="1">
        <f t="shared" si="223"/>
        <v>0.87360542431915889</v>
      </c>
    </row>
    <row r="761" spans="1:25" x14ac:dyDescent="0.25">
      <c r="A761" s="6" t="s">
        <v>56</v>
      </c>
      <c r="B761" s="6"/>
    </row>
    <row r="763" spans="1:25" x14ac:dyDescent="0.25">
      <c r="A763" t="s">
        <v>1</v>
      </c>
      <c r="B763" t="s">
        <v>12</v>
      </c>
      <c r="C763" t="s">
        <v>13</v>
      </c>
      <c r="E763" t="s">
        <v>15</v>
      </c>
      <c r="I763" t="s">
        <v>16</v>
      </c>
      <c r="J763" t="s">
        <v>17</v>
      </c>
      <c r="K763" t="s">
        <v>18</v>
      </c>
      <c r="U763" s="1">
        <f t="shared" ref="U763:U772" si="224">J764</f>
        <v>0.12245053428511285</v>
      </c>
      <c r="W763" s="2">
        <f>O777</f>
        <v>7.4609699758211884E-2</v>
      </c>
      <c r="X763" s="2">
        <f>O778</f>
        <v>0.48226099239089459</v>
      </c>
      <c r="Y763" s="2">
        <f>O779</f>
        <v>0.14810238297023798</v>
      </c>
    </row>
    <row r="764" spans="1:25" x14ac:dyDescent="0.25">
      <c r="A764" t="s">
        <v>2</v>
      </c>
      <c r="B764">
        <v>1.35888626921714</v>
      </c>
      <c r="C764">
        <v>1.2106424539078799</v>
      </c>
      <c r="D764">
        <f t="shared" ref="D764:D773" si="225">B764-C764</f>
        <v>0.14824381530926001</v>
      </c>
      <c r="E764" s="1">
        <f t="shared" ref="E764:E773" si="226">D764/C764</f>
        <v>0.12245053428511285</v>
      </c>
      <c r="I764" t="s">
        <v>2</v>
      </c>
      <c r="J764" s="1">
        <f t="shared" ref="J764:J773" si="227">E764</f>
        <v>0.12245053428511285</v>
      </c>
      <c r="K764" s="1">
        <f t="shared" ref="K764:K773" si="228">E777</f>
        <v>0.13257133088785808</v>
      </c>
      <c r="U764" s="1">
        <f t="shared" si="224"/>
        <v>0.12435338766841834</v>
      </c>
    </row>
    <row r="765" spans="1:25" x14ac:dyDescent="0.25">
      <c r="A765" t="s">
        <v>3</v>
      </c>
      <c r="B765">
        <v>1.38055437761246</v>
      </c>
      <c r="C765">
        <v>1.2278651825609099</v>
      </c>
      <c r="D765">
        <f t="shared" si="225"/>
        <v>0.1526891950515501</v>
      </c>
      <c r="E765" s="1">
        <f t="shared" si="226"/>
        <v>0.12435338766841834</v>
      </c>
      <c r="I765" t="s">
        <v>3</v>
      </c>
      <c r="J765" s="1">
        <f t="shared" si="227"/>
        <v>0.12435338766841834</v>
      </c>
      <c r="K765" s="1">
        <f t="shared" si="228"/>
        <v>0.13042127352442134</v>
      </c>
      <c r="U765" s="1">
        <f t="shared" si="224"/>
        <v>0.11188284082467999</v>
      </c>
    </row>
    <row r="766" spans="1:25" x14ac:dyDescent="0.25">
      <c r="A766" t="s">
        <v>4</v>
      </c>
      <c r="B766">
        <v>1.3841648699964499</v>
      </c>
      <c r="C766">
        <v>1.2448837406015001</v>
      </c>
      <c r="D766">
        <f t="shared" si="225"/>
        <v>0.13928112939494985</v>
      </c>
      <c r="E766" s="1">
        <f t="shared" si="226"/>
        <v>0.11188284082467999</v>
      </c>
      <c r="I766" t="s">
        <v>4</v>
      </c>
      <c r="J766" s="1">
        <f t="shared" si="227"/>
        <v>0.11188284082467999</v>
      </c>
      <c r="K766" s="1">
        <f t="shared" si="228"/>
        <v>0.11998801403867408</v>
      </c>
      <c r="U766" s="1">
        <f t="shared" si="224"/>
        <v>0.11162558274950958</v>
      </c>
    </row>
    <row r="767" spans="1:25" x14ac:dyDescent="0.25">
      <c r="A767" t="s">
        <v>5</v>
      </c>
      <c r="B767">
        <v>1.3896172242295299</v>
      </c>
      <c r="C767">
        <v>1.2500766857060199</v>
      </c>
      <c r="D767">
        <f t="shared" si="225"/>
        <v>0.13954053852351</v>
      </c>
      <c r="E767" s="1">
        <f t="shared" si="226"/>
        <v>0.11162558274950958</v>
      </c>
      <c r="I767" t="s">
        <v>5</v>
      </c>
      <c r="J767" s="1">
        <f t="shared" si="227"/>
        <v>0.11162558274950958</v>
      </c>
      <c r="K767" s="1">
        <f t="shared" si="228"/>
        <v>0.12766095026658222</v>
      </c>
      <c r="U767" s="1">
        <f t="shared" si="224"/>
        <v>9.8777043710674875E-2</v>
      </c>
    </row>
    <row r="768" spans="1:25" x14ac:dyDescent="0.25">
      <c r="A768" t="s">
        <v>6</v>
      </c>
      <c r="B768">
        <v>1.39512880552604</v>
      </c>
      <c r="C768">
        <v>1.2697105509363</v>
      </c>
      <c r="D768">
        <f t="shared" si="225"/>
        <v>0.12541825458973999</v>
      </c>
      <c r="E768" s="1">
        <f t="shared" si="226"/>
        <v>9.8777043710674875E-2</v>
      </c>
      <c r="I768" t="s">
        <v>6</v>
      </c>
      <c r="J768" s="1">
        <f t="shared" si="227"/>
        <v>9.8777043710674875E-2</v>
      </c>
      <c r="K768" s="1">
        <f t="shared" si="228"/>
        <v>0.11269592049303893</v>
      </c>
      <c r="U768" s="1">
        <f t="shared" si="224"/>
        <v>0.10728359150960243</v>
      </c>
    </row>
    <row r="769" spans="1:21" x14ac:dyDescent="0.25">
      <c r="A769" t="s">
        <v>7</v>
      </c>
      <c r="B769">
        <v>1.4114477449521801</v>
      </c>
      <c r="C769">
        <v>1.2746939950838601</v>
      </c>
      <c r="D769">
        <f t="shared" si="225"/>
        <v>0.13675374986832001</v>
      </c>
      <c r="E769" s="1">
        <f t="shared" si="226"/>
        <v>0.10728359150960243</v>
      </c>
      <c r="I769" t="s">
        <v>7</v>
      </c>
      <c r="J769" s="1">
        <f t="shared" si="227"/>
        <v>0.10728359150960243</v>
      </c>
      <c r="K769" s="1">
        <f t="shared" si="228"/>
        <v>0.11481331263218335</v>
      </c>
      <c r="U769" s="1">
        <f t="shared" si="224"/>
        <v>0.10624932133674109</v>
      </c>
    </row>
    <row r="770" spans="1:21" x14ac:dyDescent="0.25">
      <c r="A770" t="s">
        <v>8</v>
      </c>
      <c r="B770">
        <v>1.4201473071200801</v>
      </c>
      <c r="C770">
        <v>1.2837497657436201</v>
      </c>
      <c r="D770">
        <f t="shared" si="225"/>
        <v>0.13639754137645999</v>
      </c>
      <c r="E770" s="1">
        <f t="shared" si="226"/>
        <v>0.10624932133674109</v>
      </c>
      <c r="I770" t="s">
        <v>8</v>
      </c>
      <c r="J770" s="1">
        <f t="shared" si="227"/>
        <v>0.10624932133674109</v>
      </c>
      <c r="K770" s="1">
        <f t="shared" si="228"/>
        <v>0.10849985432340646</v>
      </c>
      <c r="U770" s="1">
        <f t="shared" si="224"/>
        <v>0.10752062038510476</v>
      </c>
    </row>
    <row r="771" spans="1:21" x14ac:dyDescent="0.25">
      <c r="A771" t="s">
        <v>9</v>
      </c>
      <c r="B771">
        <v>1.4746378809776699</v>
      </c>
      <c r="C771">
        <v>1.33147668209095</v>
      </c>
      <c r="D771">
        <f t="shared" si="225"/>
        <v>0.14316119888671985</v>
      </c>
      <c r="E771" s="1">
        <f t="shared" si="226"/>
        <v>0.10752062038510476</v>
      </c>
      <c r="I771" t="s">
        <v>9</v>
      </c>
      <c r="J771" s="1">
        <f t="shared" si="227"/>
        <v>0.10752062038510476</v>
      </c>
      <c r="K771" s="1">
        <f t="shared" si="228"/>
        <v>0.1056151130895165</v>
      </c>
      <c r="U771" s="1">
        <f t="shared" si="224"/>
        <v>7.4609699758211884E-2</v>
      </c>
    </row>
    <row r="772" spans="1:21" x14ac:dyDescent="0.25">
      <c r="A772" t="s">
        <v>10</v>
      </c>
      <c r="B772">
        <v>1.5397852199787401</v>
      </c>
      <c r="C772">
        <v>1.43287857938114</v>
      </c>
      <c r="D772">
        <f t="shared" si="225"/>
        <v>0.10690664059760002</v>
      </c>
      <c r="E772" s="1">
        <f t="shared" si="226"/>
        <v>7.4609699758211884E-2</v>
      </c>
      <c r="I772" t="s">
        <v>10</v>
      </c>
      <c r="J772" s="1">
        <f t="shared" si="227"/>
        <v>7.4609699758211884E-2</v>
      </c>
      <c r="K772" s="1">
        <f t="shared" si="228"/>
        <v>8.6520332200334671E-2</v>
      </c>
      <c r="U772" s="1">
        <f t="shared" si="224"/>
        <v>0.47624794332979414</v>
      </c>
    </row>
    <row r="773" spans="1:21" x14ac:dyDescent="0.25">
      <c r="A773" t="s">
        <v>11</v>
      </c>
      <c r="B773">
        <v>3.5854850797024498</v>
      </c>
      <c r="C773">
        <v>2.4287824385482999</v>
      </c>
      <c r="D773">
        <f t="shared" si="225"/>
        <v>1.1567026411541499</v>
      </c>
      <c r="E773" s="1">
        <f t="shared" si="226"/>
        <v>0.47624794332979414</v>
      </c>
      <c r="I773" t="s">
        <v>11</v>
      </c>
      <c r="J773" s="1">
        <f t="shared" si="227"/>
        <v>0.47624794332979414</v>
      </c>
      <c r="K773" s="1">
        <f t="shared" si="228"/>
        <v>0.48226099239089459</v>
      </c>
      <c r="U773" s="1">
        <f t="shared" ref="U773:U782" si="229">K764</f>
        <v>0.13257133088785808</v>
      </c>
    </row>
    <row r="774" spans="1:21" x14ac:dyDescent="0.25">
      <c r="U774" s="1">
        <f t="shared" si="229"/>
        <v>0.13042127352442134</v>
      </c>
    </row>
    <row r="775" spans="1:21" x14ac:dyDescent="0.25">
      <c r="U775" s="1">
        <f t="shared" si="229"/>
        <v>0.11998801403867408</v>
      </c>
    </row>
    <row r="776" spans="1:21" x14ac:dyDescent="0.25">
      <c r="A776" t="s">
        <v>1</v>
      </c>
      <c r="B776" t="s">
        <v>14</v>
      </c>
      <c r="C776" t="s">
        <v>13</v>
      </c>
      <c r="I776" t="s">
        <v>19</v>
      </c>
      <c r="J776" s="2">
        <f>AVERAGE(J764:J773)</f>
        <v>0.14410005655578501</v>
      </c>
      <c r="K776" s="2">
        <f>AVERAGE(K764:K773)</f>
        <v>0.15210470938469101</v>
      </c>
      <c r="U776" s="1">
        <f t="shared" si="229"/>
        <v>0.12766095026658222</v>
      </c>
    </row>
    <row r="777" spans="1:21" x14ac:dyDescent="0.25">
      <c r="A777" t="s">
        <v>2</v>
      </c>
      <c r="B777">
        <v>1.37113893525179</v>
      </c>
      <c r="C777">
        <v>1.2106424539078799</v>
      </c>
      <c r="D777">
        <f t="shared" ref="D777:D786" si="230">B777-C777</f>
        <v>0.16049648134391004</v>
      </c>
      <c r="E777" s="1">
        <f t="shared" ref="E777:E786" si="231">D777/C777</f>
        <v>0.13257133088785808</v>
      </c>
      <c r="N777" t="s">
        <v>20</v>
      </c>
      <c r="O777" s="2">
        <f>MIN(U763:U782)</f>
        <v>7.4609699758211884E-2</v>
      </c>
      <c r="U777" s="1">
        <f t="shared" si="229"/>
        <v>0.11269592049303893</v>
      </c>
    </row>
    <row r="778" spans="1:21" x14ac:dyDescent="0.25">
      <c r="A778" t="s">
        <v>3</v>
      </c>
      <c r="B778">
        <v>1.3880049233867999</v>
      </c>
      <c r="C778">
        <v>1.2278651825609099</v>
      </c>
      <c r="D778">
        <f t="shared" si="230"/>
        <v>0.16013974082589</v>
      </c>
      <c r="E778" s="1">
        <f t="shared" si="231"/>
        <v>0.13042127352442134</v>
      </c>
      <c r="N778" t="s">
        <v>21</v>
      </c>
      <c r="O778" s="2">
        <f>MAX(U763:U782)</f>
        <v>0.48226099239089459</v>
      </c>
      <c r="U778" s="1">
        <f t="shared" si="229"/>
        <v>0.11481331263218335</v>
      </c>
    </row>
    <row r="779" spans="1:21" x14ac:dyDescent="0.25">
      <c r="A779" t="s">
        <v>4</v>
      </c>
      <c r="B779">
        <v>1.39425486834531</v>
      </c>
      <c r="C779">
        <v>1.2448837406015001</v>
      </c>
      <c r="D779">
        <f t="shared" si="230"/>
        <v>0.14937112774380989</v>
      </c>
      <c r="E779" s="1">
        <f t="shared" si="231"/>
        <v>0.11998801403867408</v>
      </c>
      <c r="N779" t="s">
        <v>22</v>
      </c>
      <c r="O779" s="2">
        <f>AVERAGE(U763:U782)</f>
        <v>0.14810238297023798</v>
      </c>
      <c r="U779" s="1">
        <f t="shared" si="229"/>
        <v>0.10849985432340646</v>
      </c>
    </row>
    <row r="780" spans="1:21" x14ac:dyDescent="0.25">
      <c r="A780" t="s">
        <v>5</v>
      </c>
      <c r="B780">
        <v>1.4096626633093501</v>
      </c>
      <c r="C780">
        <v>1.2500766857060199</v>
      </c>
      <c r="D780">
        <f t="shared" si="230"/>
        <v>0.15958597760333015</v>
      </c>
      <c r="E780" s="1">
        <f t="shared" si="231"/>
        <v>0.12766095026658222</v>
      </c>
      <c r="U780" s="1">
        <f t="shared" si="229"/>
        <v>0.1056151130895165</v>
      </c>
    </row>
    <row r="781" spans="1:21" x14ac:dyDescent="0.25">
      <c r="A781" t="s">
        <v>6</v>
      </c>
      <c r="B781">
        <v>1.41280175023379</v>
      </c>
      <c r="C781">
        <v>1.2697105509363</v>
      </c>
      <c r="D781">
        <f t="shared" si="230"/>
        <v>0.14309119929748992</v>
      </c>
      <c r="E781" s="1">
        <f t="shared" si="231"/>
        <v>0.11269592049303893</v>
      </c>
      <c r="U781" s="1">
        <f t="shared" si="229"/>
        <v>8.6520332200334671E-2</v>
      </c>
    </row>
    <row r="782" spans="1:21" x14ac:dyDescent="0.25">
      <c r="A782" t="s">
        <v>7</v>
      </c>
      <c r="B782">
        <v>1.4210458352517901</v>
      </c>
      <c r="C782">
        <v>1.2746939950838601</v>
      </c>
      <c r="D782">
        <f t="shared" si="230"/>
        <v>0.14635184016793001</v>
      </c>
      <c r="E782" s="1">
        <f t="shared" si="231"/>
        <v>0.11481331263218335</v>
      </c>
      <c r="U782" s="1">
        <f t="shared" si="229"/>
        <v>0.48226099239089459</v>
      </c>
    </row>
    <row r="783" spans="1:21" x14ac:dyDescent="0.25">
      <c r="A783" t="s">
        <v>8</v>
      </c>
      <c r="B783">
        <v>1.42303642831451</v>
      </c>
      <c r="C783">
        <v>1.2837497657436201</v>
      </c>
      <c r="D783">
        <f t="shared" si="230"/>
        <v>0.13928666257088995</v>
      </c>
      <c r="E783" s="1">
        <f t="shared" si="231"/>
        <v>0.10849985432340646</v>
      </c>
    </row>
    <row r="784" spans="1:21" x14ac:dyDescent="0.25">
      <c r="A784" t="s">
        <v>9</v>
      </c>
      <c r="B784">
        <v>1.4721007424460399</v>
      </c>
      <c r="C784">
        <v>1.33147668209095</v>
      </c>
      <c r="D784">
        <f t="shared" si="230"/>
        <v>0.1406240603550899</v>
      </c>
      <c r="E784" s="1">
        <f t="shared" si="231"/>
        <v>0.1056151130895165</v>
      </c>
    </row>
    <row r="785" spans="1:25" x14ac:dyDescent="0.25">
      <c r="A785" t="s">
        <v>10</v>
      </c>
      <c r="B785">
        <v>1.5568517100719399</v>
      </c>
      <c r="C785">
        <v>1.43287857938114</v>
      </c>
      <c r="D785">
        <f t="shared" si="230"/>
        <v>0.12397313069079985</v>
      </c>
      <c r="E785" s="1">
        <f t="shared" si="231"/>
        <v>8.6520332200334671E-2</v>
      </c>
    </row>
    <row r="786" spans="1:25" x14ac:dyDescent="0.25">
      <c r="A786" t="s">
        <v>11</v>
      </c>
      <c r="B786">
        <v>3.6000894676641799</v>
      </c>
      <c r="C786">
        <v>2.4287824385482999</v>
      </c>
      <c r="D786">
        <f t="shared" si="230"/>
        <v>1.17130702911588</v>
      </c>
      <c r="E786" s="1">
        <f t="shared" si="231"/>
        <v>0.48226099239089459</v>
      </c>
    </row>
    <row r="788" spans="1:25" x14ac:dyDescent="0.25">
      <c r="A788" s="6" t="s">
        <v>57</v>
      </c>
      <c r="B788" s="6"/>
    </row>
    <row r="790" spans="1:25" x14ac:dyDescent="0.25">
      <c r="A790" t="s">
        <v>1</v>
      </c>
      <c r="B790" t="s">
        <v>12</v>
      </c>
      <c r="C790" t="s">
        <v>13</v>
      </c>
      <c r="E790" t="s">
        <v>15</v>
      </c>
      <c r="I790" t="s">
        <v>16</v>
      </c>
      <c r="J790" t="s">
        <v>17</v>
      </c>
      <c r="K790" t="s">
        <v>18</v>
      </c>
      <c r="U790" s="1">
        <f t="shared" ref="U790:U799" si="232">J791</f>
        <v>0.56202637368606911</v>
      </c>
      <c r="W790" s="2">
        <f>O804</f>
        <v>0.42701979509587784</v>
      </c>
      <c r="X790" s="2">
        <f>O805</f>
        <v>1.0951600908744747</v>
      </c>
      <c r="Y790" s="2">
        <f>O806</f>
        <v>0.61669497101630832</v>
      </c>
    </row>
    <row r="791" spans="1:25" x14ac:dyDescent="0.25">
      <c r="A791" t="s">
        <v>2</v>
      </c>
      <c r="B791">
        <v>4.6007300000000004</v>
      </c>
      <c r="C791">
        <v>2.94536</v>
      </c>
      <c r="D791">
        <f t="shared" ref="D791:D800" si="233">B791-C791</f>
        <v>1.6553700000000005</v>
      </c>
      <c r="E791" s="1">
        <f t="shared" ref="E791:E800" si="234">D791/C791</f>
        <v>0.56202637368606911</v>
      </c>
      <c r="I791" t="s">
        <v>2</v>
      </c>
      <c r="J791" s="1">
        <f t="shared" ref="J791:J800" si="235">E791</f>
        <v>0.56202637368606911</v>
      </c>
      <c r="K791" s="1">
        <f t="shared" ref="K791:K800" si="236">E804</f>
        <v>0.64748282043621153</v>
      </c>
      <c r="U791" s="1">
        <f t="shared" si="232"/>
        <v>0.55866654022529139</v>
      </c>
    </row>
    <row r="792" spans="1:25" x14ac:dyDescent="0.25">
      <c r="A792" t="s">
        <v>3</v>
      </c>
      <c r="B792">
        <v>4.60215</v>
      </c>
      <c r="C792">
        <v>2.95262</v>
      </c>
      <c r="D792">
        <f t="shared" si="233"/>
        <v>1.6495299999999999</v>
      </c>
      <c r="E792" s="1">
        <f t="shared" si="234"/>
        <v>0.55866654022529139</v>
      </c>
      <c r="I792" t="s">
        <v>3</v>
      </c>
      <c r="J792" s="1">
        <f t="shared" si="235"/>
        <v>0.55866654022529139</v>
      </c>
      <c r="K792" s="1">
        <f t="shared" si="236"/>
        <v>0.66150402015836773</v>
      </c>
      <c r="U792" s="1">
        <f t="shared" si="232"/>
        <v>0.5720850086157383</v>
      </c>
    </row>
    <row r="793" spans="1:25" x14ac:dyDescent="0.25">
      <c r="A793" t="s">
        <v>4</v>
      </c>
      <c r="B793">
        <v>4.6255300000000004</v>
      </c>
      <c r="C793">
        <v>2.9422899999999998</v>
      </c>
      <c r="D793">
        <f t="shared" si="233"/>
        <v>1.6832400000000005</v>
      </c>
      <c r="E793" s="1">
        <f t="shared" si="234"/>
        <v>0.5720850086157383</v>
      </c>
      <c r="I793" t="s">
        <v>4</v>
      </c>
      <c r="J793" s="1">
        <f t="shared" si="235"/>
        <v>0.5720850086157383</v>
      </c>
      <c r="K793" s="1">
        <f t="shared" si="236"/>
        <v>0.63773795241121711</v>
      </c>
      <c r="U793" s="1">
        <f t="shared" si="232"/>
        <v>0.55453229391095138</v>
      </c>
    </row>
    <row r="794" spans="1:25" x14ac:dyDescent="0.25">
      <c r="A794" t="s">
        <v>5</v>
      </c>
      <c r="B794">
        <v>4.5744600000000002</v>
      </c>
      <c r="C794">
        <v>2.9426600000000001</v>
      </c>
      <c r="D794">
        <f t="shared" si="233"/>
        <v>1.6318000000000001</v>
      </c>
      <c r="E794" s="1">
        <f t="shared" si="234"/>
        <v>0.55453229391095138</v>
      </c>
      <c r="I794" t="s">
        <v>5</v>
      </c>
      <c r="J794" s="1">
        <f t="shared" si="235"/>
        <v>0.55453229391095138</v>
      </c>
      <c r="K794" s="1">
        <f t="shared" si="236"/>
        <v>0.62596086533952278</v>
      </c>
      <c r="U794" s="1">
        <f t="shared" si="232"/>
        <v>0.50352329203504154</v>
      </c>
    </row>
    <row r="795" spans="1:25" x14ac:dyDescent="0.25">
      <c r="A795" t="s">
        <v>6</v>
      </c>
      <c r="B795">
        <v>4.4743500000000003</v>
      </c>
      <c r="C795">
        <v>2.9759099999999998</v>
      </c>
      <c r="D795">
        <f t="shared" si="233"/>
        <v>1.4984400000000004</v>
      </c>
      <c r="E795" s="1">
        <f t="shared" si="234"/>
        <v>0.50352329203504154</v>
      </c>
      <c r="I795" t="s">
        <v>6</v>
      </c>
      <c r="J795" s="1">
        <f t="shared" si="235"/>
        <v>0.50352329203504154</v>
      </c>
      <c r="K795" s="1">
        <f t="shared" si="236"/>
        <v>0.63110107496530476</v>
      </c>
      <c r="U795" s="1">
        <f t="shared" si="232"/>
        <v>0.56044593529365594</v>
      </c>
    </row>
    <row r="796" spans="1:25" x14ac:dyDescent="0.25">
      <c r="A796" t="s">
        <v>7</v>
      </c>
      <c r="B796">
        <v>4.5728400000000002</v>
      </c>
      <c r="C796">
        <v>2.9304700000000001</v>
      </c>
      <c r="D796">
        <f t="shared" si="233"/>
        <v>1.6423700000000001</v>
      </c>
      <c r="E796" s="1">
        <f t="shared" si="234"/>
        <v>0.56044593529365594</v>
      </c>
      <c r="I796" t="s">
        <v>7</v>
      </c>
      <c r="J796" s="1">
        <f t="shared" si="235"/>
        <v>0.56044593529365594</v>
      </c>
      <c r="K796" s="1">
        <f t="shared" si="236"/>
        <v>0.66573280054052753</v>
      </c>
      <c r="U796" s="1">
        <f t="shared" si="232"/>
        <v>0.52150252717625301</v>
      </c>
    </row>
    <row r="797" spans="1:25" x14ac:dyDescent="0.25">
      <c r="A797" t="s">
        <v>8</v>
      </c>
      <c r="B797">
        <v>4.5936899999999996</v>
      </c>
      <c r="C797">
        <v>3.01918</v>
      </c>
      <c r="D797">
        <f t="shared" si="233"/>
        <v>1.5745099999999996</v>
      </c>
      <c r="E797" s="1">
        <f t="shared" si="234"/>
        <v>0.52150252717625301</v>
      </c>
      <c r="I797" t="s">
        <v>8</v>
      </c>
      <c r="J797" s="1">
        <f t="shared" si="235"/>
        <v>0.52150252717625301</v>
      </c>
      <c r="K797" s="1">
        <f t="shared" si="236"/>
        <v>0.5938698587033564</v>
      </c>
      <c r="U797" s="1">
        <f t="shared" si="232"/>
        <v>0.50428575715042989</v>
      </c>
    </row>
    <row r="798" spans="1:25" x14ac:dyDescent="0.25">
      <c r="A798" t="s">
        <v>9</v>
      </c>
      <c r="B798">
        <v>4.51206</v>
      </c>
      <c r="C798">
        <v>2.9994700000000001</v>
      </c>
      <c r="D798">
        <f t="shared" si="233"/>
        <v>1.5125899999999999</v>
      </c>
      <c r="E798" s="1">
        <f t="shared" si="234"/>
        <v>0.50428575715042989</v>
      </c>
      <c r="I798" t="s">
        <v>9</v>
      </c>
      <c r="J798" s="1">
        <f t="shared" si="235"/>
        <v>0.50428575715042989</v>
      </c>
      <c r="K798" s="1">
        <f t="shared" si="236"/>
        <v>0.55785522108905905</v>
      </c>
      <c r="U798" s="1">
        <f t="shared" si="232"/>
        <v>0.42701979509587784</v>
      </c>
    </row>
    <row r="799" spans="1:25" x14ac:dyDescent="0.25">
      <c r="A799" t="s">
        <v>10</v>
      </c>
      <c r="B799">
        <v>4.3304200000000002</v>
      </c>
      <c r="C799">
        <v>3.0345900000000001</v>
      </c>
      <c r="D799">
        <f t="shared" si="233"/>
        <v>1.29583</v>
      </c>
      <c r="E799" s="1">
        <f t="shared" si="234"/>
        <v>0.42701979509587784</v>
      </c>
      <c r="I799" t="s">
        <v>10</v>
      </c>
      <c r="J799" s="1">
        <f t="shared" si="235"/>
        <v>0.42701979509587784</v>
      </c>
      <c r="K799" s="1">
        <f t="shared" si="236"/>
        <v>0.5018931717299534</v>
      </c>
      <c r="U799" s="1">
        <f t="shared" si="232"/>
        <v>0.95151402088886272</v>
      </c>
    </row>
    <row r="800" spans="1:25" x14ac:dyDescent="0.25">
      <c r="A800" t="s">
        <v>11</v>
      </c>
      <c r="B800">
        <v>15.2729</v>
      </c>
      <c r="C800">
        <v>7.8261799999999999</v>
      </c>
      <c r="D800">
        <f t="shared" si="233"/>
        <v>7.44672</v>
      </c>
      <c r="E800" s="1">
        <f t="shared" si="234"/>
        <v>0.95151402088886272</v>
      </c>
      <c r="I800" t="s">
        <v>11</v>
      </c>
      <c r="J800" s="1">
        <f t="shared" si="235"/>
        <v>0.95151402088886272</v>
      </c>
      <c r="K800" s="1">
        <f t="shared" si="236"/>
        <v>1.0951600908744747</v>
      </c>
      <c r="U800" s="1">
        <f t="shared" ref="U800:U809" si="237">K791</f>
        <v>0.64748282043621153</v>
      </c>
    </row>
    <row r="801" spans="1:21" x14ac:dyDescent="0.25">
      <c r="U801" s="1">
        <f t="shared" si="237"/>
        <v>0.66150402015836773</v>
      </c>
    </row>
    <row r="802" spans="1:21" x14ac:dyDescent="0.25">
      <c r="U802" s="1">
        <f t="shared" si="237"/>
        <v>0.63773795241121711</v>
      </c>
    </row>
    <row r="803" spans="1:21" x14ac:dyDescent="0.25">
      <c r="A803" t="s">
        <v>1</v>
      </c>
      <c r="B803" t="s">
        <v>14</v>
      </c>
      <c r="C803" t="s">
        <v>13</v>
      </c>
      <c r="I803" t="s">
        <v>19</v>
      </c>
      <c r="J803" s="2">
        <f>AVERAGE(J791:J800)</f>
        <v>0.57156015440781704</v>
      </c>
      <c r="K803" s="2">
        <f>AVERAGE(K791:K800)</f>
        <v>0.66182978762479949</v>
      </c>
      <c r="U803" s="1">
        <f t="shared" si="237"/>
        <v>0.62596086533952278</v>
      </c>
    </row>
    <row r="804" spans="1:21" x14ac:dyDescent="0.25">
      <c r="A804" t="s">
        <v>2</v>
      </c>
      <c r="B804">
        <v>4.85243</v>
      </c>
      <c r="C804">
        <v>2.94536</v>
      </c>
      <c r="D804">
        <f t="shared" ref="D804:D813" si="238">B804-C804</f>
        <v>1.90707</v>
      </c>
      <c r="E804" s="1">
        <f t="shared" ref="E804:E813" si="239">D804/C804</f>
        <v>0.64748282043621153</v>
      </c>
      <c r="N804" t="s">
        <v>20</v>
      </c>
      <c r="O804" s="2">
        <f>MIN(U790:U809)</f>
        <v>0.42701979509587784</v>
      </c>
      <c r="U804" s="1">
        <f t="shared" si="237"/>
        <v>0.63110107496530476</v>
      </c>
    </row>
    <row r="805" spans="1:21" x14ac:dyDescent="0.25">
      <c r="A805" t="s">
        <v>3</v>
      </c>
      <c r="B805">
        <v>4.9057899999999997</v>
      </c>
      <c r="C805">
        <v>2.95262</v>
      </c>
      <c r="D805">
        <f t="shared" si="238"/>
        <v>1.9531699999999996</v>
      </c>
      <c r="E805" s="1">
        <f t="shared" si="239"/>
        <v>0.66150402015836773</v>
      </c>
      <c r="N805" t="s">
        <v>21</v>
      </c>
      <c r="O805" s="2">
        <f>MAX(U790:U809)</f>
        <v>1.0951600908744747</v>
      </c>
      <c r="U805" s="1">
        <f t="shared" si="237"/>
        <v>0.66573280054052753</v>
      </c>
    </row>
    <row r="806" spans="1:21" x14ac:dyDescent="0.25">
      <c r="A806" t="s">
        <v>4</v>
      </c>
      <c r="B806">
        <v>4.8186999999999998</v>
      </c>
      <c r="C806">
        <v>2.9422899999999998</v>
      </c>
      <c r="D806">
        <f t="shared" si="238"/>
        <v>1.8764099999999999</v>
      </c>
      <c r="E806" s="1">
        <f t="shared" si="239"/>
        <v>0.63773795241121711</v>
      </c>
      <c r="N806" t="s">
        <v>22</v>
      </c>
      <c r="O806" s="2">
        <f>AVERAGE(U790:U809)</f>
        <v>0.61669497101630832</v>
      </c>
      <c r="U806" s="1">
        <f t="shared" si="237"/>
        <v>0.5938698587033564</v>
      </c>
    </row>
    <row r="807" spans="1:21" x14ac:dyDescent="0.25">
      <c r="A807" t="s">
        <v>5</v>
      </c>
      <c r="B807">
        <v>4.7846500000000001</v>
      </c>
      <c r="C807">
        <v>2.9426600000000001</v>
      </c>
      <c r="D807">
        <f t="shared" si="238"/>
        <v>1.84199</v>
      </c>
      <c r="E807" s="1">
        <f t="shared" si="239"/>
        <v>0.62596086533952278</v>
      </c>
      <c r="U807" s="1">
        <f t="shared" si="237"/>
        <v>0.55785522108905905</v>
      </c>
    </row>
    <row r="808" spans="1:21" x14ac:dyDescent="0.25">
      <c r="A808" t="s">
        <v>6</v>
      </c>
      <c r="B808">
        <v>4.8540099999999997</v>
      </c>
      <c r="C808">
        <v>2.9759099999999998</v>
      </c>
      <c r="D808">
        <f t="shared" si="238"/>
        <v>1.8780999999999999</v>
      </c>
      <c r="E808" s="1">
        <f t="shared" si="239"/>
        <v>0.63110107496530476</v>
      </c>
      <c r="U808" s="1">
        <f t="shared" si="237"/>
        <v>0.5018931717299534</v>
      </c>
    </row>
    <row r="809" spans="1:21" x14ac:dyDescent="0.25">
      <c r="A809" t="s">
        <v>7</v>
      </c>
      <c r="B809">
        <v>4.8813800000000001</v>
      </c>
      <c r="C809">
        <v>2.9304700000000001</v>
      </c>
      <c r="D809">
        <f t="shared" si="238"/>
        <v>1.9509099999999999</v>
      </c>
      <c r="E809" s="1">
        <f t="shared" si="239"/>
        <v>0.66573280054052753</v>
      </c>
      <c r="U809" s="1">
        <f t="shared" si="237"/>
        <v>1.0951600908744747</v>
      </c>
    </row>
    <row r="810" spans="1:21" x14ac:dyDescent="0.25">
      <c r="A810" t="s">
        <v>8</v>
      </c>
      <c r="B810">
        <v>4.8121799999999997</v>
      </c>
      <c r="C810">
        <v>3.01918</v>
      </c>
      <c r="D810">
        <f t="shared" si="238"/>
        <v>1.7929999999999997</v>
      </c>
      <c r="E810" s="1">
        <f t="shared" si="239"/>
        <v>0.5938698587033564</v>
      </c>
    </row>
    <row r="811" spans="1:21" x14ac:dyDescent="0.25">
      <c r="A811" t="s">
        <v>9</v>
      </c>
      <c r="B811">
        <v>4.6727400000000001</v>
      </c>
      <c r="C811">
        <v>2.9994700000000001</v>
      </c>
      <c r="D811">
        <f t="shared" si="238"/>
        <v>1.67327</v>
      </c>
      <c r="E811" s="1">
        <f t="shared" si="239"/>
        <v>0.55785522108905905</v>
      </c>
    </row>
    <row r="812" spans="1:21" x14ac:dyDescent="0.25">
      <c r="A812" t="s">
        <v>10</v>
      </c>
      <c r="B812">
        <v>4.5576299999999996</v>
      </c>
      <c r="C812">
        <v>3.0345900000000001</v>
      </c>
      <c r="D812">
        <f t="shared" si="238"/>
        <v>1.5230399999999995</v>
      </c>
      <c r="E812" s="1">
        <f t="shared" si="239"/>
        <v>0.5018931717299534</v>
      </c>
    </row>
    <row r="813" spans="1:21" x14ac:dyDescent="0.25">
      <c r="A813" t="s">
        <v>11</v>
      </c>
      <c r="B813">
        <v>16.397099999999998</v>
      </c>
      <c r="C813">
        <v>7.8261799999999999</v>
      </c>
      <c r="D813">
        <f t="shared" si="238"/>
        <v>8.5709199999999974</v>
      </c>
      <c r="E813" s="1">
        <f t="shared" si="239"/>
        <v>1.0951600908744747</v>
      </c>
    </row>
    <row r="815" spans="1:21" x14ac:dyDescent="0.25">
      <c r="A815" s="6" t="s">
        <v>58</v>
      </c>
      <c r="B815" s="6"/>
    </row>
    <row r="817" spans="1:25" x14ac:dyDescent="0.25">
      <c r="A817" t="s">
        <v>1</v>
      </c>
      <c r="B817" t="s">
        <v>12</v>
      </c>
      <c r="C817" t="s">
        <v>13</v>
      </c>
      <c r="E817" t="s">
        <v>15</v>
      </c>
      <c r="I817" t="s">
        <v>16</v>
      </c>
      <c r="J817" t="s">
        <v>17</v>
      </c>
      <c r="K817" t="s">
        <v>18</v>
      </c>
      <c r="U817" s="1">
        <f t="shared" ref="U817:U826" si="240">J818</f>
        <v>0.24086760706885416</v>
      </c>
      <c r="W817" s="2">
        <f>O831</f>
        <v>0.13562822376932235</v>
      </c>
      <c r="X817" s="2">
        <f>O832</f>
        <v>0.66238184409393019</v>
      </c>
      <c r="Y817" s="2">
        <f>O833</f>
        <v>0.24907232425453504</v>
      </c>
    </row>
    <row r="818" spans="1:25" x14ac:dyDescent="0.25">
      <c r="A818" t="s">
        <v>2</v>
      </c>
      <c r="B818">
        <v>1.6325446394158301</v>
      </c>
      <c r="C818">
        <v>1.31564772109104</v>
      </c>
      <c r="D818">
        <f t="shared" ref="D818:D827" si="241">B818-C818</f>
        <v>0.31689691832479006</v>
      </c>
      <c r="E818" s="1">
        <f t="shared" ref="E818:E827" si="242">D818/C818</f>
        <v>0.24086760706885416</v>
      </c>
      <c r="I818" t="s">
        <v>2</v>
      </c>
      <c r="J818" s="1">
        <f t="shared" ref="J818:J827" si="243">E818</f>
        <v>0.24086760706885416</v>
      </c>
      <c r="K818" s="1">
        <f t="shared" ref="K818:K827" si="244">E831</f>
        <v>0.22827522321060428</v>
      </c>
      <c r="U818" s="1">
        <f t="shared" si="240"/>
        <v>0.237053662034203</v>
      </c>
    </row>
    <row r="819" spans="1:25" x14ac:dyDescent="0.25">
      <c r="A819" t="s">
        <v>3</v>
      </c>
      <c r="B819">
        <v>1.6539137172538301</v>
      </c>
      <c r="C819">
        <v>1.3369781505954601</v>
      </c>
      <c r="D819">
        <f t="shared" si="241"/>
        <v>0.31693556665836997</v>
      </c>
      <c r="E819" s="1">
        <f t="shared" si="242"/>
        <v>0.237053662034203</v>
      </c>
      <c r="I819" t="s">
        <v>3</v>
      </c>
      <c r="J819" s="1">
        <f t="shared" si="243"/>
        <v>0.237053662034203</v>
      </c>
      <c r="K819" s="1">
        <f t="shared" si="244"/>
        <v>0.23757459430834654</v>
      </c>
      <c r="U819" s="1">
        <f t="shared" si="240"/>
        <v>0.21504220046550063</v>
      </c>
    </row>
    <row r="820" spans="1:25" x14ac:dyDescent="0.25">
      <c r="A820" t="s">
        <v>4</v>
      </c>
      <c r="B820">
        <v>1.6582012149954799</v>
      </c>
      <c r="C820">
        <v>1.3647272616212001</v>
      </c>
      <c r="D820">
        <f t="shared" si="241"/>
        <v>0.29347395337427984</v>
      </c>
      <c r="E820" s="1">
        <f t="shared" si="242"/>
        <v>0.21504220046550063</v>
      </c>
      <c r="I820" t="s">
        <v>4</v>
      </c>
      <c r="J820" s="1">
        <f t="shared" si="243"/>
        <v>0.21504220046550063</v>
      </c>
      <c r="K820" s="1">
        <f t="shared" si="244"/>
        <v>0.21523498961137549</v>
      </c>
      <c r="U820" s="1">
        <f t="shared" si="240"/>
        <v>0.20887369545228088</v>
      </c>
    </row>
    <row r="821" spans="1:25" x14ac:dyDescent="0.25">
      <c r="A821" t="s">
        <v>5</v>
      </c>
      <c r="B821">
        <v>1.6581691087021899</v>
      </c>
      <c r="C821">
        <v>1.3716644798709201</v>
      </c>
      <c r="D821">
        <f t="shared" si="241"/>
        <v>0.28650462883126981</v>
      </c>
      <c r="E821" s="1">
        <f t="shared" si="242"/>
        <v>0.20887369545228088</v>
      </c>
      <c r="I821" t="s">
        <v>5</v>
      </c>
      <c r="J821" s="1">
        <f t="shared" si="243"/>
        <v>0.20887369545228088</v>
      </c>
      <c r="K821" s="1">
        <f t="shared" si="244"/>
        <v>0.20422778096540167</v>
      </c>
      <c r="U821" s="1">
        <f t="shared" si="240"/>
        <v>0.20460723927821883</v>
      </c>
    </row>
    <row r="822" spans="1:25" x14ac:dyDescent="0.25">
      <c r="A822" t="s">
        <v>6</v>
      </c>
      <c r="B822">
        <v>1.6686579750075301</v>
      </c>
      <c r="C822">
        <v>1.3852299078057699</v>
      </c>
      <c r="D822">
        <f t="shared" si="241"/>
        <v>0.28342806720176017</v>
      </c>
      <c r="E822" s="1">
        <f t="shared" si="242"/>
        <v>0.20460723927821883</v>
      </c>
      <c r="I822" t="s">
        <v>6</v>
      </c>
      <c r="J822" s="1">
        <f t="shared" si="243"/>
        <v>0.20460723927821883</v>
      </c>
      <c r="K822" s="1">
        <f t="shared" si="244"/>
        <v>0.20383718590206865</v>
      </c>
      <c r="U822" s="1">
        <f t="shared" si="240"/>
        <v>0.20608493150960713</v>
      </c>
    </row>
    <row r="823" spans="1:25" x14ac:dyDescent="0.25">
      <c r="A823" t="s">
        <v>7</v>
      </c>
      <c r="B823">
        <v>1.6829416004215501</v>
      </c>
      <c r="C823">
        <v>1.39537569573569</v>
      </c>
      <c r="D823">
        <f t="shared" si="241"/>
        <v>0.28756590468586007</v>
      </c>
      <c r="E823" s="1">
        <f t="shared" si="242"/>
        <v>0.20608493150960713</v>
      </c>
      <c r="I823" t="s">
        <v>7</v>
      </c>
      <c r="J823" s="1">
        <f t="shared" si="243"/>
        <v>0.20608493150960713</v>
      </c>
      <c r="K823" s="1">
        <f t="shared" si="244"/>
        <v>0.2132321087536195</v>
      </c>
      <c r="U823" s="1">
        <f t="shared" si="240"/>
        <v>0.21541888104077525</v>
      </c>
    </row>
    <row r="824" spans="1:25" x14ac:dyDescent="0.25">
      <c r="A824" t="s">
        <v>8</v>
      </c>
      <c r="B824">
        <v>1.6949507422462999</v>
      </c>
      <c r="C824">
        <v>1.3945404079907799</v>
      </c>
      <c r="D824">
        <f t="shared" si="241"/>
        <v>0.30041033425552</v>
      </c>
      <c r="E824" s="1">
        <f t="shared" si="242"/>
        <v>0.21541888104077525</v>
      </c>
      <c r="I824" t="s">
        <v>8</v>
      </c>
      <c r="J824" s="1">
        <f t="shared" si="243"/>
        <v>0.21541888104077525</v>
      </c>
      <c r="K824" s="1">
        <f t="shared" si="244"/>
        <v>0.20613170735733216</v>
      </c>
      <c r="U824" s="1">
        <f t="shared" si="240"/>
        <v>0.18446444002937432</v>
      </c>
    </row>
    <row r="825" spans="1:25" x14ac:dyDescent="0.25">
      <c r="A825" t="s">
        <v>9</v>
      </c>
      <c r="B825">
        <v>1.73796912676903</v>
      </c>
      <c r="C825">
        <v>1.4673037602766099</v>
      </c>
      <c r="D825">
        <f t="shared" si="241"/>
        <v>0.27066536649242012</v>
      </c>
      <c r="E825" s="1">
        <f t="shared" si="242"/>
        <v>0.18446444002937432</v>
      </c>
      <c r="I825" t="s">
        <v>9</v>
      </c>
      <c r="J825" s="1">
        <f t="shared" si="243"/>
        <v>0.18446444002937432</v>
      </c>
      <c r="K825" s="1">
        <f t="shared" si="244"/>
        <v>0.17692324327754827</v>
      </c>
      <c r="U825" s="1">
        <f t="shared" si="240"/>
        <v>0.15469375941246463</v>
      </c>
    </row>
    <row r="826" spans="1:25" x14ac:dyDescent="0.25">
      <c r="A826" t="s">
        <v>10</v>
      </c>
      <c r="B826">
        <v>1.8244114265281499</v>
      </c>
      <c r="C826">
        <v>1.5799959181007901</v>
      </c>
      <c r="D826">
        <f t="shared" si="241"/>
        <v>0.24441550842735982</v>
      </c>
      <c r="E826" s="1">
        <f t="shared" si="242"/>
        <v>0.15469375941246463</v>
      </c>
      <c r="I826" t="s">
        <v>10</v>
      </c>
      <c r="J826" s="1">
        <f t="shared" si="243"/>
        <v>0.15469375941246463</v>
      </c>
      <c r="K826" s="1">
        <f t="shared" si="244"/>
        <v>0.13562822376932235</v>
      </c>
      <c r="U826" s="1">
        <f t="shared" si="240"/>
        <v>0.66238184409393019</v>
      </c>
    </row>
    <row r="827" spans="1:25" x14ac:dyDescent="0.25">
      <c r="A827" t="s">
        <v>11</v>
      </c>
      <c r="B827">
        <v>4.8691224585967996</v>
      </c>
      <c r="C827">
        <v>2.92900363168408</v>
      </c>
      <c r="D827">
        <f t="shared" si="241"/>
        <v>1.9401188269127196</v>
      </c>
      <c r="E827" s="1">
        <f t="shared" si="242"/>
        <v>0.66238184409393019</v>
      </c>
      <c r="I827" t="s">
        <v>11</v>
      </c>
      <c r="J827" s="1">
        <f t="shared" si="243"/>
        <v>0.66238184409393019</v>
      </c>
      <c r="K827" s="1">
        <f t="shared" si="244"/>
        <v>0.63089316754987268</v>
      </c>
      <c r="U827" s="1">
        <f t="shared" ref="U827:U836" si="245">K818</f>
        <v>0.22827522321060428</v>
      </c>
    </row>
    <row r="828" spans="1:25" x14ac:dyDescent="0.25">
      <c r="U828" s="1">
        <f t="shared" si="245"/>
        <v>0.23757459430834654</v>
      </c>
    </row>
    <row r="829" spans="1:25" x14ac:dyDescent="0.25">
      <c r="U829" s="1">
        <f t="shared" si="245"/>
        <v>0.21523498961137549</v>
      </c>
    </row>
    <row r="830" spans="1:25" x14ac:dyDescent="0.25">
      <c r="A830" t="s">
        <v>1</v>
      </c>
      <c r="B830" t="s">
        <v>14</v>
      </c>
      <c r="C830" t="s">
        <v>13</v>
      </c>
      <c r="I830" t="s">
        <v>19</v>
      </c>
      <c r="J830" s="2">
        <f>AVERAGE(J818:J827)</f>
        <v>0.25294882603852092</v>
      </c>
      <c r="K830" s="2">
        <f>AVERAGE(K818:K827)</f>
        <v>0.24519582247054914</v>
      </c>
      <c r="U830" s="1">
        <f t="shared" si="245"/>
        <v>0.20422778096540167</v>
      </c>
    </row>
    <row r="831" spans="1:25" x14ac:dyDescent="0.25">
      <c r="A831" t="s">
        <v>2</v>
      </c>
      <c r="B831">
        <v>1.61597749828962</v>
      </c>
      <c r="C831">
        <v>1.31564772109104</v>
      </c>
      <c r="D831">
        <f t="shared" ref="D831:D840" si="246">B831-C831</f>
        <v>0.30032977719858001</v>
      </c>
      <c r="E831" s="1">
        <f t="shared" ref="E831:E840" si="247">D831/C831</f>
        <v>0.22827522321060428</v>
      </c>
      <c r="N831" t="s">
        <v>20</v>
      </c>
      <c r="O831" s="2">
        <f>MIN(U817:U836)</f>
        <v>0.13562822376932235</v>
      </c>
      <c r="U831" s="1">
        <f t="shared" si="245"/>
        <v>0.20383718590206865</v>
      </c>
    </row>
    <row r="832" spans="1:25" x14ac:dyDescent="0.25">
      <c r="A832" t="s">
        <v>3</v>
      </c>
      <c r="B832">
        <v>1.6546101923223</v>
      </c>
      <c r="C832">
        <v>1.3369781505954601</v>
      </c>
      <c r="D832">
        <f t="shared" si="246"/>
        <v>0.3176320417268399</v>
      </c>
      <c r="E832" s="1">
        <f t="shared" si="247"/>
        <v>0.23757459430834654</v>
      </c>
      <c r="N832" t="s">
        <v>21</v>
      </c>
      <c r="O832" s="2">
        <f>MAX(U817:U836)</f>
        <v>0.66238184409393019</v>
      </c>
      <c r="U832" s="1">
        <f t="shared" si="245"/>
        <v>0.2132321087536195</v>
      </c>
    </row>
    <row r="833" spans="1:25" x14ac:dyDescent="0.25">
      <c r="A833" t="s">
        <v>4</v>
      </c>
      <c r="B833">
        <v>1.6584643195986</v>
      </c>
      <c r="C833">
        <v>1.3647272616212001</v>
      </c>
      <c r="D833">
        <f t="shared" si="246"/>
        <v>0.29373705797739991</v>
      </c>
      <c r="E833" s="1">
        <f t="shared" si="247"/>
        <v>0.21523498961137549</v>
      </c>
      <c r="N833" t="s">
        <v>22</v>
      </c>
      <c r="O833" s="2">
        <f>AVERAGE(U817:U836)</f>
        <v>0.24907232425453504</v>
      </c>
      <c r="U833" s="1">
        <f t="shared" si="245"/>
        <v>0.20613170735733216</v>
      </c>
    </row>
    <row r="834" spans="1:25" x14ac:dyDescent="0.25">
      <c r="A834" t="s">
        <v>5</v>
      </c>
      <c r="B834">
        <v>1.65179647282402</v>
      </c>
      <c r="C834">
        <v>1.3716644798709201</v>
      </c>
      <c r="D834">
        <f t="shared" si="246"/>
        <v>0.28013199295309987</v>
      </c>
      <c r="E834" s="1">
        <f t="shared" si="247"/>
        <v>0.20422778096540167</v>
      </c>
      <c r="U834" s="1">
        <f t="shared" si="245"/>
        <v>0.17692324327754827</v>
      </c>
    </row>
    <row r="835" spans="1:25" x14ac:dyDescent="0.25">
      <c r="A835" t="s">
        <v>6</v>
      </c>
      <c r="B835">
        <v>1.6675912740402801</v>
      </c>
      <c r="C835">
        <v>1.3852299078057699</v>
      </c>
      <c r="D835">
        <f t="shared" si="246"/>
        <v>0.28236136623451014</v>
      </c>
      <c r="E835" s="1">
        <f t="shared" si="247"/>
        <v>0.20383718590206865</v>
      </c>
      <c r="U835" s="1">
        <f t="shared" si="245"/>
        <v>0.13562822376932235</v>
      </c>
    </row>
    <row r="836" spans="1:25" x14ac:dyDescent="0.25">
      <c r="A836" t="s">
        <v>7</v>
      </c>
      <c r="B836">
        <v>1.6929145978409601</v>
      </c>
      <c r="C836">
        <v>1.39537569573569</v>
      </c>
      <c r="D836">
        <f t="shared" si="246"/>
        <v>0.29753890210527012</v>
      </c>
      <c r="E836" s="1">
        <f t="shared" si="247"/>
        <v>0.2132321087536195</v>
      </c>
      <c r="U836" s="1">
        <f t="shared" si="245"/>
        <v>0.63089316754987268</v>
      </c>
    </row>
    <row r="837" spans="1:25" x14ac:dyDescent="0.25">
      <c r="A837" t="s">
        <v>8</v>
      </c>
      <c r="B837">
        <v>1.68199940326871</v>
      </c>
      <c r="C837">
        <v>1.3945404079907799</v>
      </c>
      <c r="D837">
        <f t="shared" si="246"/>
        <v>0.28745899527793006</v>
      </c>
      <c r="E837" s="1">
        <f t="shared" si="247"/>
        <v>0.20613170735733216</v>
      </c>
    </row>
    <row r="838" spans="1:25" x14ac:dyDescent="0.25">
      <c r="A838" t="s">
        <v>9</v>
      </c>
      <c r="B838">
        <v>1.7269039004180899</v>
      </c>
      <c r="C838">
        <v>1.4673037602766099</v>
      </c>
      <c r="D838">
        <f t="shared" si="246"/>
        <v>0.25960014014148003</v>
      </c>
      <c r="E838" s="1">
        <f t="shared" si="247"/>
        <v>0.17692324327754827</v>
      </c>
    </row>
    <row r="839" spans="1:25" x14ac:dyDescent="0.25">
      <c r="A839" t="s">
        <v>10</v>
      </c>
      <c r="B839">
        <v>1.7942879580355799</v>
      </c>
      <c r="C839">
        <v>1.5799959181007901</v>
      </c>
      <c r="D839">
        <f t="shared" si="246"/>
        <v>0.21429203993478985</v>
      </c>
      <c r="E839" s="1">
        <f t="shared" si="247"/>
        <v>0.13562822376932235</v>
      </c>
    </row>
    <row r="840" spans="1:25" x14ac:dyDescent="0.25">
      <c r="A840" t="s">
        <v>11</v>
      </c>
      <c r="B840">
        <v>4.7768920106423298</v>
      </c>
      <c r="C840">
        <v>2.92900363168408</v>
      </c>
      <c r="D840">
        <f t="shared" si="246"/>
        <v>1.8478883789582499</v>
      </c>
      <c r="E840" s="1">
        <f t="shared" si="247"/>
        <v>0.63089316754987268</v>
      </c>
    </row>
    <row r="842" spans="1:25" x14ac:dyDescent="0.25">
      <c r="A842" s="6" t="s">
        <v>59</v>
      </c>
      <c r="B842" s="6"/>
    </row>
    <row r="844" spans="1:25" x14ac:dyDescent="0.25">
      <c r="A844" t="s">
        <v>1</v>
      </c>
      <c r="B844" t="s">
        <v>12</v>
      </c>
      <c r="C844" t="s">
        <v>13</v>
      </c>
      <c r="E844" t="s">
        <v>15</v>
      </c>
      <c r="I844" t="s">
        <v>16</v>
      </c>
      <c r="J844" t="s">
        <v>17</v>
      </c>
      <c r="K844" t="s">
        <v>18</v>
      </c>
      <c r="U844" s="1">
        <f t="shared" ref="U844:U853" si="248">J845</f>
        <v>0.97006590002484039</v>
      </c>
      <c r="W844" s="2">
        <f>O858</f>
        <v>0.64297809321560284</v>
      </c>
      <c r="X844" s="2">
        <f>O859</f>
        <v>1.4224340420703749</v>
      </c>
      <c r="Y844" s="2">
        <f>O860</f>
        <v>0.88793616109939355</v>
      </c>
    </row>
    <row r="845" spans="1:25" x14ac:dyDescent="0.25">
      <c r="A845" t="s">
        <v>2</v>
      </c>
      <c r="B845">
        <v>6.7412700000000001</v>
      </c>
      <c r="C845">
        <v>3.4218500000000001</v>
      </c>
      <c r="D845">
        <f t="shared" ref="D845:D854" si="249">B845-C845</f>
        <v>3.31942</v>
      </c>
      <c r="E845" s="1">
        <f t="shared" ref="E845:E854" si="250">D845/C845</f>
        <v>0.97006590002484039</v>
      </c>
      <c r="I845" t="s">
        <v>2</v>
      </c>
      <c r="J845" s="1">
        <f t="shared" ref="J845:J854" si="251">E845</f>
        <v>0.97006590002484039</v>
      </c>
      <c r="K845" s="1">
        <f t="shared" ref="K845:K854" si="252">E858</f>
        <v>0.90923623186288127</v>
      </c>
      <c r="U845" s="1">
        <f t="shared" si="248"/>
        <v>0.95605895673130092</v>
      </c>
    </row>
    <row r="846" spans="1:25" x14ac:dyDescent="0.25">
      <c r="A846" t="s">
        <v>3</v>
      </c>
      <c r="B846">
        <v>6.72051</v>
      </c>
      <c r="C846">
        <v>3.43574</v>
      </c>
      <c r="D846">
        <f t="shared" si="249"/>
        <v>3.28477</v>
      </c>
      <c r="E846" s="1">
        <f t="shared" si="250"/>
        <v>0.95605895673130092</v>
      </c>
      <c r="I846" t="s">
        <v>3</v>
      </c>
      <c r="J846" s="1">
        <f t="shared" si="251"/>
        <v>0.95605895673130092</v>
      </c>
      <c r="K846" s="1">
        <f t="shared" si="252"/>
        <v>0.87067705938167606</v>
      </c>
      <c r="U846" s="1">
        <f t="shared" si="248"/>
        <v>0.81155513522237854</v>
      </c>
    </row>
    <row r="847" spans="1:25" x14ac:dyDescent="0.25">
      <c r="A847" t="s">
        <v>4</v>
      </c>
      <c r="B847">
        <v>6.3976699999999997</v>
      </c>
      <c r="C847">
        <v>3.53159</v>
      </c>
      <c r="D847">
        <f t="shared" si="249"/>
        <v>2.8660799999999997</v>
      </c>
      <c r="E847" s="1">
        <f t="shared" si="250"/>
        <v>0.81155513522237854</v>
      </c>
      <c r="I847" t="s">
        <v>4</v>
      </c>
      <c r="J847" s="1">
        <f t="shared" si="251"/>
        <v>0.81155513522237854</v>
      </c>
      <c r="K847" s="1">
        <f t="shared" si="252"/>
        <v>0.82860411316149396</v>
      </c>
      <c r="U847" s="1">
        <f t="shared" si="248"/>
        <v>0.84109936525852191</v>
      </c>
    </row>
    <row r="848" spans="1:25" x14ac:dyDescent="0.25">
      <c r="A848" t="s">
        <v>5</v>
      </c>
      <c r="B848">
        <v>6.3289999999999997</v>
      </c>
      <c r="C848">
        <v>3.4376199999999999</v>
      </c>
      <c r="D848">
        <f t="shared" si="249"/>
        <v>2.8913799999999998</v>
      </c>
      <c r="E848" s="1">
        <f t="shared" si="250"/>
        <v>0.84109936525852191</v>
      </c>
      <c r="I848" t="s">
        <v>5</v>
      </c>
      <c r="J848" s="1">
        <f t="shared" si="251"/>
        <v>0.84109936525852191</v>
      </c>
      <c r="K848" s="1">
        <f t="shared" si="252"/>
        <v>0.82792746144134599</v>
      </c>
      <c r="U848" s="1">
        <f t="shared" si="248"/>
        <v>0.84293668074410721</v>
      </c>
    </row>
    <row r="849" spans="1:21" x14ac:dyDescent="0.25">
      <c r="A849" t="s">
        <v>6</v>
      </c>
      <c r="B849">
        <v>6.3056999999999999</v>
      </c>
      <c r="C849">
        <v>3.4215499999999999</v>
      </c>
      <c r="D849">
        <f t="shared" si="249"/>
        <v>2.88415</v>
      </c>
      <c r="E849" s="1">
        <f t="shared" si="250"/>
        <v>0.84293668074410721</v>
      </c>
      <c r="I849" t="s">
        <v>6</v>
      </c>
      <c r="J849" s="1">
        <f t="shared" si="251"/>
        <v>0.84293668074410721</v>
      </c>
      <c r="K849" s="1">
        <f t="shared" si="252"/>
        <v>0.83988543204103405</v>
      </c>
      <c r="U849" s="1">
        <f t="shared" si="248"/>
        <v>0.85641170091404584</v>
      </c>
    </row>
    <row r="850" spans="1:21" x14ac:dyDescent="0.25">
      <c r="A850" t="s">
        <v>7</v>
      </c>
      <c r="B850">
        <v>6.5905399999999998</v>
      </c>
      <c r="C850">
        <v>3.5501499999999999</v>
      </c>
      <c r="D850">
        <f t="shared" si="249"/>
        <v>3.0403899999999999</v>
      </c>
      <c r="E850" s="1">
        <f t="shared" si="250"/>
        <v>0.85641170091404584</v>
      </c>
      <c r="I850" t="s">
        <v>7</v>
      </c>
      <c r="J850" s="1">
        <f t="shared" si="251"/>
        <v>0.85641170091404584</v>
      </c>
      <c r="K850" s="1">
        <f t="shared" si="252"/>
        <v>0.83030857851076711</v>
      </c>
      <c r="U850" s="1">
        <f t="shared" si="248"/>
        <v>0.83844513982251323</v>
      </c>
    </row>
    <row r="851" spans="1:21" x14ac:dyDescent="0.25">
      <c r="A851" t="s">
        <v>8</v>
      </c>
      <c r="B851">
        <v>6.3040099999999999</v>
      </c>
      <c r="C851">
        <v>3.4289900000000002</v>
      </c>
      <c r="D851">
        <f t="shared" si="249"/>
        <v>2.8750199999999997</v>
      </c>
      <c r="E851" s="1">
        <f t="shared" si="250"/>
        <v>0.83844513982251323</v>
      </c>
      <c r="I851" t="s">
        <v>8</v>
      </c>
      <c r="J851" s="1">
        <f t="shared" si="251"/>
        <v>0.83844513982251323</v>
      </c>
      <c r="K851" s="1">
        <f t="shared" si="252"/>
        <v>0.8803496073187731</v>
      </c>
      <c r="U851" s="1">
        <f t="shared" si="248"/>
        <v>0.79040733381766393</v>
      </c>
    </row>
    <row r="852" spans="1:21" x14ac:dyDescent="0.25">
      <c r="A852" t="s">
        <v>9</v>
      </c>
      <c r="B852">
        <v>6.1364599999999996</v>
      </c>
      <c r="C852">
        <v>3.4274100000000001</v>
      </c>
      <c r="D852">
        <f t="shared" si="249"/>
        <v>2.7090499999999995</v>
      </c>
      <c r="E852" s="1">
        <f t="shared" si="250"/>
        <v>0.79040733381766393</v>
      </c>
      <c r="I852" t="s">
        <v>9</v>
      </c>
      <c r="J852" s="1">
        <f t="shared" si="251"/>
        <v>0.79040733381766393</v>
      </c>
      <c r="K852" s="1">
        <f t="shared" si="252"/>
        <v>0.73415786264263683</v>
      </c>
      <c r="U852" s="1">
        <f t="shared" si="248"/>
        <v>0.6490890801385939</v>
      </c>
    </row>
    <row r="853" spans="1:21" x14ac:dyDescent="0.25">
      <c r="A853" t="s">
        <v>10</v>
      </c>
      <c r="B853">
        <v>5.9017600000000003</v>
      </c>
      <c r="C853">
        <v>3.5788000000000002</v>
      </c>
      <c r="D853">
        <f t="shared" si="249"/>
        <v>2.3229600000000001</v>
      </c>
      <c r="E853" s="1">
        <f t="shared" si="250"/>
        <v>0.6490890801385939</v>
      </c>
      <c r="I853" t="s">
        <v>10</v>
      </c>
      <c r="J853" s="1">
        <f t="shared" si="251"/>
        <v>0.6490890801385939</v>
      </c>
      <c r="K853" s="1">
        <f t="shared" si="252"/>
        <v>0.64297809321560284</v>
      </c>
      <c r="U853" s="1">
        <f t="shared" si="248"/>
        <v>1.4160954476673211</v>
      </c>
    </row>
    <row r="854" spans="1:21" x14ac:dyDescent="0.25">
      <c r="A854" t="s">
        <v>11</v>
      </c>
      <c r="B854">
        <v>22.146100000000001</v>
      </c>
      <c r="C854">
        <v>9.1660699999999995</v>
      </c>
      <c r="D854">
        <f t="shared" si="249"/>
        <v>12.980030000000001</v>
      </c>
      <c r="E854" s="1">
        <f t="shared" si="250"/>
        <v>1.4160954476673211</v>
      </c>
      <c r="I854" t="s">
        <v>11</v>
      </c>
      <c r="J854" s="1">
        <f t="shared" si="251"/>
        <v>1.4160954476673211</v>
      </c>
      <c r="K854" s="1">
        <f t="shared" si="252"/>
        <v>1.4224340420703749</v>
      </c>
      <c r="U854" s="1">
        <f t="shared" ref="U854:U863" si="253">K845</f>
        <v>0.90923623186288127</v>
      </c>
    </row>
    <row r="855" spans="1:21" x14ac:dyDescent="0.25">
      <c r="U855" s="1">
        <f t="shared" si="253"/>
        <v>0.87067705938167606</v>
      </c>
    </row>
    <row r="856" spans="1:21" x14ac:dyDescent="0.25">
      <c r="U856" s="1">
        <f t="shared" si="253"/>
        <v>0.82860411316149396</v>
      </c>
    </row>
    <row r="857" spans="1:21" x14ac:dyDescent="0.25">
      <c r="A857" t="s">
        <v>1</v>
      </c>
      <c r="B857" t="s">
        <v>14</v>
      </c>
      <c r="C857" t="s">
        <v>13</v>
      </c>
      <c r="I857" t="s">
        <v>19</v>
      </c>
      <c r="J857" s="2">
        <f>AVERAGE(J845:J854)</f>
        <v>0.89721647403412863</v>
      </c>
      <c r="K857" s="2">
        <f>AVERAGE(K845:K854)</f>
        <v>0.87865584816465847</v>
      </c>
      <c r="U857" s="1">
        <f t="shared" si="253"/>
        <v>0.82792746144134599</v>
      </c>
    </row>
    <row r="858" spans="1:21" x14ac:dyDescent="0.25">
      <c r="A858" t="s">
        <v>2</v>
      </c>
      <c r="B858">
        <v>6.5331200000000003</v>
      </c>
      <c r="C858">
        <v>3.4218500000000001</v>
      </c>
      <c r="D858">
        <f t="shared" ref="D858:D867" si="254">B858-C858</f>
        <v>3.1112700000000002</v>
      </c>
      <c r="E858" s="1">
        <f t="shared" ref="E858:E867" si="255">D858/C858</f>
        <v>0.90923623186288127</v>
      </c>
      <c r="N858" t="s">
        <v>20</v>
      </c>
      <c r="O858" s="2">
        <f>MIN(U844:U863)</f>
        <v>0.64297809321560284</v>
      </c>
      <c r="U858" s="1">
        <f t="shared" si="253"/>
        <v>0.83988543204103405</v>
      </c>
    </row>
    <row r="859" spans="1:21" x14ac:dyDescent="0.25">
      <c r="A859" t="s">
        <v>3</v>
      </c>
      <c r="B859">
        <v>6.4271599999999998</v>
      </c>
      <c r="C859">
        <v>3.43574</v>
      </c>
      <c r="D859">
        <f t="shared" si="254"/>
        <v>2.9914199999999997</v>
      </c>
      <c r="E859" s="1">
        <f t="shared" si="255"/>
        <v>0.87067705938167606</v>
      </c>
      <c r="N859" t="s">
        <v>21</v>
      </c>
      <c r="O859" s="2">
        <f>MAX(U844:U863)</f>
        <v>1.4224340420703749</v>
      </c>
      <c r="U859" s="1">
        <f t="shared" si="253"/>
        <v>0.83030857851076711</v>
      </c>
    </row>
    <row r="860" spans="1:21" x14ac:dyDescent="0.25">
      <c r="A860" t="s">
        <v>4</v>
      </c>
      <c r="B860">
        <v>6.4578800000000003</v>
      </c>
      <c r="C860">
        <v>3.53159</v>
      </c>
      <c r="D860">
        <f t="shared" si="254"/>
        <v>2.9262900000000003</v>
      </c>
      <c r="E860" s="1">
        <f t="shared" si="255"/>
        <v>0.82860411316149396</v>
      </c>
      <c r="N860" t="s">
        <v>22</v>
      </c>
      <c r="O860" s="2">
        <f>AVERAGE(U844:U863)</f>
        <v>0.88793616109939355</v>
      </c>
      <c r="U860" s="1">
        <f t="shared" si="253"/>
        <v>0.8803496073187731</v>
      </c>
    </row>
    <row r="861" spans="1:21" x14ac:dyDescent="0.25">
      <c r="A861" t="s">
        <v>5</v>
      </c>
      <c r="B861">
        <v>6.2837199999999998</v>
      </c>
      <c r="C861">
        <v>3.4376199999999999</v>
      </c>
      <c r="D861">
        <f t="shared" si="254"/>
        <v>2.8460999999999999</v>
      </c>
      <c r="E861" s="1">
        <f t="shared" si="255"/>
        <v>0.82792746144134599</v>
      </c>
      <c r="U861" s="1">
        <f t="shared" si="253"/>
        <v>0.73415786264263683</v>
      </c>
    </row>
    <row r="862" spans="1:21" x14ac:dyDescent="0.25">
      <c r="A862" t="s">
        <v>6</v>
      </c>
      <c r="B862">
        <v>6.2952599999999999</v>
      </c>
      <c r="C862">
        <v>3.4215499999999999</v>
      </c>
      <c r="D862">
        <f t="shared" si="254"/>
        <v>2.87371</v>
      </c>
      <c r="E862" s="1">
        <f t="shared" si="255"/>
        <v>0.83988543204103405</v>
      </c>
      <c r="U862" s="1">
        <f t="shared" si="253"/>
        <v>0.64297809321560284</v>
      </c>
    </row>
    <row r="863" spans="1:21" x14ac:dyDescent="0.25">
      <c r="A863" t="s">
        <v>7</v>
      </c>
      <c r="B863">
        <v>6.4978699999999998</v>
      </c>
      <c r="C863">
        <v>3.5501499999999999</v>
      </c>
      <c r="D863">
        <f t="shared" si="254"/>
        <v>2.9477199999999999</v>
      </c>
      <c r="E863" s="1">
        <f t="shared" si="255"/>
        <v>0.83030857851076711</v>
      </c>
      <c r="U863" s="1">
        <f t="shared" si="253"/>
        <v>1.4224340420703749</v>
      </c>
    </row>
    <row r="864" spans="1:21" x14ac:dyDescent="0.25">
      <c r="A864" t="s">
        <v>8</v>
      </c>
      <c r="B864">
        <v>6.4477000000000002</v>
      </c>
      <c r="C864">
        <v>3.4289900000000002</v>
      </c>
      <c r="D864">
        <f t="shared" si="254"/>
        <v>3.01871</v>
      </c>
      <c r="E864" s="1">
        <f t="shared" si="255"/>
        <v>0.8803496073187731</v>
      </c>
    </row>
    <row r="865" spans="1:25" x14ac:dyDescent="0.25">
      <c r="A865" t="s">
        <v>9</v>
      </c>
      <c r="B865">
        <v>5.94367</v>
      </c>
      <c r="C865">
        <v>3.4274100000000001</v>
      </c>
      <c r="D865">
        <f t="shared" si="254"/>
        <v>2.5162599999999999</v>
      </c>
      <c r="E865" s="1">
        <f t="shared" si="255"/>
        <v>0.73415786264263683</v>
      </c>
    </row>
    <row r="866" spans="1:25" x14ac:dyDescent="0.25">
      <c r="A866" t="s">
        <v>10</v>
      </c>
      <c r="B866">
        <v>5.8798899999999996</v>
      </c>
      <c r="C866">
        <v>3.5788000000000002</v>
      </c>
      <c r="D866">
        <f t="shared" si="254"/>
        <v>2.3010899999999994</v>
      </c>
      <c r="E866" s="1">
        <f t="shared" si="255"/>
        <v>0.64297809321560284</v>
      </c>
    </row>
    <row r="867" spans="1:25" x14ac:dyDescent="0.25">
      <c r="A867" t="s">
        <v>11</v>
      </c>
      <c r="B867">
        <v>22.2042</v>
      </c>
      <c r="C867">
        <v>9.1660699999999995</v>
      </c>
      <c r="D867">
        <f t="shared" si="254"/>
        <v>13.038130000000001</v>
      </c>
      <c r="E867" s="1">
        <f t="shared" si="255"/>
        <v>1.4224340420703749</v>
      </c>
    </row>
    <row r="869" spans="1:25" x14ac:dyDescent="0.25">
      <c r="A869" s="6" t="s">
        <v>60</v>
      </c>
      <c r="B869" s="6"/>
    </row>
    <row r="871" spans="1:25" x14ac:dyDescent="0.25">
      <c r="A871" t="s">
        <v>1</v>
      </c>
      <c r="B871" t="s">
        <v>12</v>
      </c>
      <c r="C871" t="s">
        <v>13</v>
      </c>
      <c r="E871" t="s">
        <v>15</v>
      </c>
      <c r="I871" t="s">
        <v>16</v>
      </c>
      <c r="J871" t="s">
        <v>17</v>
      </c>
      <c r="K871" t="s">
        <v>18</v>
      </c>
      <c r="U871" s="1">
        <f t="shared" ref="U871:U880" si="256">J872</f>
        <v>0.51284658685682538</v>
      </c>
      <c r="W871" s="2">
        <f>O885</f>
        <v>0.33141987192801403</v>
      </c>
      <c r="X871" s="2">
        <f>O886</f>
        <v>1.0681710428487605</v>
      </c>
      <c r="Y871" s="2">
        <f>O887</f>
        <v>0.51227248182065543</v>
      </c>
    </row>
    <row r="872" spans="1:25" x14ac:dyDescent="0.25">
      <c r="A872" t="s">
        <v>2</v>
      </c>
      <c r="B872">
        <v>2.2950509260419798</v>
      </c>
      <c r="C872">
        <v>1.5170414144968301</v>
      </c>
      <c r="D872">
        <f t="shared" ref="D872:D881" si="257">B872-C872</f>
        <v>0.77800951154514975</v>
      </c>
      <c r="E872" s="1">
        <f t="shared" ref="E872:E881" si="258">D872/C872</f>
        <v>0.51284658685682538</v>
      </c>
      <c r="I872" t="s">
        <v>2</v>
      </c>
      <c r="J872" s="1">
        <f t="shared" ref="J872:J881" si="259">E872</f>
        <v>0.51284658685682538</v>
      </c>
      <c r="K872" s="1">
        <f t="shared" ref="K872:K881" si="260">E885</f>
        <v>0.49832171266688879</v>
      </c>
      <c r="U872" s="1">
        <f t="shared" si="256"/>
        <v>0.52815484902626963</v>
      </c>
    </row>
    <row r="873" spans="1:25" x14ac:dyDescent="0.25">
      <c r="A873" t="s">
        <v>3</v>
      </c>
      <c r="B873">
        <v>2.33857650579756</v>
      </c>
      <c r="C873">
        <v>1.53032692157322</v>
      </c>
      <c r="D873">
        <f t="shared" si="257"/>
        <v>0.80824958422434001</v>
      </c>
      <c r="E873" s="1">
        <f t="shared" si="258"/>
        <v>0.52815484902626963</v>
      </c>
      <c r="I873" t="s">
        <v>3</v>
      </c>
      <c r="J873" s="1">
        <f t="shared" si="259"/>
        <v>0.52815484902626963</v>
      </c>
      <c r="K873" s="1">
        <f t="shared" si="260"/>
        <v>0.46598705119350575</v>
      </c>
      <c r="U873" s="1">
        <f t="shared" si="256"/>
        <v>0.51752971674225856</v>
      </c>
    </row>
    <row r="874" spans="1:25" x14ac:dyDescent="0.25">
      <c r="A874" t="s">
        <v>4</v>
      </c>
      <c r="B874">
        <v>2.3445312119075501</v>
      </c>
      <c r="C874">
        <v>1.5449656016889399</v>
      </c>
      <c r="D874">
        <f t="shared" si="257"/>
        <v>0.79956561021861017</v>
      </c>
      <c r="E874" s="1">
        <f t="shared" si="258"/>
        <v>0.51752971674225856</v>
      </c>
      <c r="I874" t="s">
        <v>4</v>
      </c>
      <c r="J874" s="1">
        <f t="shared" si="259"/>
        <v>0.51752971674225856</v>
      </c>
      <c r="K874" s="1">
        <f t="shared" si="260"/>
        <v>0.48240939618506679</v>
      </c>
      <c r="U874" s="1">
        <f t="shared" si="256"/>
        <v>0.48103860056446285</v>
      </c>
    </row>
    <row r="875" spans="1:25" x14ac:dyDescent="0.25">
      <c r="A875" t="s">
        <v>5</v>
      </c>
      <c r="B875">
        <v>2.3157699937323701</v>
      </c>
      <c r="C875">
        <v>1.5636121792165101</v>
      </c>
      <c r="D875">
        <f t="shared" si="257"/>
        <v>0.75215781451586006</v>
      </c>
      <c r="E875" s="1">
        <f t="shared" si="258"/>
        <v>0.48103860056446285</v>
      </c>
      <c r="I875" t="s">
        <v>5</v>
      </c>
      <c r="J875" s="1">
        <f t="shared" si="259"/>
        <v>0.48103860056446285</v>
      </c>
      <c r="K875" s="1">
        <f t="shared" si="260"/>
        <v>0.47935628183063322</v>
      </c>
      <c r="U875" s="1">
        <f t="shared" si="256"/>
        <v>0.4739158696223757</v>
      </c>
    </row>
    <row r="876" spans="1:25" x14ac:dyDescent="0.25">
      <c r="A876" t="s">
        <v>6</v>
      </c>
      <c r="B876">
        <v>2.3098871184581702</v>
      </c>
      <c r="C876">
        <v>1.5671770458988099</v>
      </c>
      <c r="D876">
        <f t="shared" si="257"/>
        <v>0.74271007255936028</v>
      </c>
      <c r="E876" s="1">
        <f t="shared" si="258"/>
        <v>0.4739158696223757</v>
      </c>
      <c r="I876" t="s">
        <v>6</v>
      </c>
      <c r="J876" s="1">
        <f t="shared" si="259"/>
        <v>0.4739158696223757</v>
      </c>
      <c r="K876" s="1">
        <f t="shared" si="260"/>
        <v>0.44845092365576222</v>
      </c>
      <c r="U876" s="1">
        <f t="shared" si="256"/>
        <v>0.47501869170788652</v>
      </c>
    </row>
    <row r="877" spans="1:25" x14ac:dyDescent="0.25">
      <c r="A877" t="s">
        <v>7</v>
      </c>
      <c r="B877">
        <v>2.3515536459067801</v>
      </c>
      <c r="C877">
        <v>1.59425345531315</v>
      </c>
      <c r="D877">
        <f t="shared" si="257"/>
        <v>0.75730019059363007</v>
      </c>
      <c r="E877" s="1">
        <f t="shared" si="258"/>
        <v>0.47501869170788652</v>
      </c>
      <c r="I877" t="s">
        <v>7</v>
      </c>
      <c r="J877" s="1">
        <f t="shared" si="259"/>
        <v>0.47501869170788652</v>
      </c>
      <c r="K877" s="1">
        <f t="shared" si="260"/>
        <v>0.45162210063156139</v>
      </c>
      <c r="U877" s="1">
        <f t="shared" si="256"/>
        <v>0.46696745223166758</v>
      </c>
    </row>
    <row r="878" spans="1:25" x14ac:dyDescent="0.25">
      <c r="A878" t="s">
        <v>8</v>
      </c>
      <c r="B878">
        <v>2.35618730727044</v>
      </c>
      <c r="C878">
        <v>1.6061619524591499</v>
      </c>
      <c r="D878">
        <f t="shared" si="257"/>
        <v>0.75002535481129007</v>
      </c>
      <c r="E878" s="1">
        <f t="shared" si="258"/>
        <v>0.46696745223166758</v>
      </c>
      <c r="I878" t="s">
        <v>8</v>
      </c>
      <c r="J878" s="1">
        <f t="shared" si="259"/>
        <v>0.46696745223166758</v>
      </c>
      <c r="K878" s="1">
        <f t="shared" si="260"/>
        <v>0.46105250733562259</v>
      </c>
      <c r="U878" s="1">
        <f t="shared" si="256"/>
        <v>0.40805706190116808</v>
      </c>
    </row>
    <row r="879" spans="1:25" x14ac:dyDescent="0.25">
      <c r="A879" t="s">
        <v>9</v>
      </c>
      <c r="B879">
        <v>2.37026839783766</v>
      </c>
      <c r="C879">
        <v>1.6833610383923701</v>
      </c>
      <c r="D879">
        <f t="shared" si="257"/>
        <v>0.68690735944528991</v>
      </c>
      <c r="E879" s="1">
        <f t="shared" si="258"/>
        <v>0.40805706190116808</v>
      </c>
      <c r="I879" t="s">
        <v>9</v>
      </c>
      <c r="J879" s="1">
        <f t="shared" si="259"/>
        <v>0.40805706190116808</v>
      </c>
      <c r="K879" s="1">
        <f t="shared" si="260"/>
        <v>0.38446530332621209</v>
      </c>
      <c r="U879" s="1">
        <f t="shared" si="256"/>
        <v>0.35749788862381598</v>
      </c>
    </row>
    <row r="880" spans="1:25" x14ac:dyDescent="0.25">
      <c r="A880" t="s">
        <v>10</v>
      </c>
      <c r="B880">
        <v>2.4465800814727801</v>
      </c>
      <c r="C880">
        <v>1.8022717397763599</v>
      </c>
      <c r="D880">
        <f t="shared" si="257"/>
        <v>0.64430834169642015</v>
      </c>
      <c r="E880" s="1">
        <f t="shared" si="258"/>
        <v>0.35749788862381598</v>
      </c>
      <c r="I880" t="s">
        <v>10</v>
      </c>
      <c r="J880" s="1">
        <f t="shared" si="259"/>
        <v>0.35749788862381598</v>
      </c>
      <c r="K880" s="1">
        <f t="shared" si="260"/>
        <v>0.33141987192801403</v>
      </c>
      <c r="U880" s="1">
        <f t="shared" si="256"/>
        <v>1.0681710428487605</v>
      </c>
    </row>
    <row r="881" spans="1:21" x14ac:dyDescent="0.25">
      <c r="A881" t="s">
        <v>11</v>
      </c>
      <c r="B881">
        <v>7.8264923611437602</v>
      </c>
      <c r="C881">
        <v>3.7842577809054498</v>
      </c>
      <c r="D881">
        <f t="shared" si="257"/>
        <v>4.0422345802383104</v>
      </c>
      <c r="E881" s="1">
        <f t="shared" si="258"/>
        <v>1.0681710428487605</v>
      </c>
      <c r="I881" t="s">
        <v>11</v>
      </c>
      <c r="J881" s="1">
        <f t="shared" si="259"/>
        <v>1.0681710428487605</v>
      </c>
      <c r="K881" s="1">
        <f t="shared" si="260"/>
        <v>0.95316672753435028</v>
      </c>
      <c r="U881" s="1">
        <f t="shared" ref="U881:U890" si="261">K872</f>
        <v>0.49832171266688879</v>
      </c>
    </row>
    <row r="882" spans="1:21" x14ac:dyDescent="0.25">
      <c r="U882" s="1">
        <f t="shared" si="261"/>
        <v>0.46598705119350575</v>
      </c>
    </row>
    <row r="883" spans="1:21" x14ac:dyDescent="0.25">
      <c r="U883" s="1">
        <f t="shared" si="261"/>
        <v>0.48240939618506679</v>
      </c>
    </row>
    <row r="884" spans="1:21" x14ac:dyDescent="0.25">
      <c r="A884" t="s">
        <v>1</v>
      </c>
      <c r="B884" t="s">
        <v>14</v>
      </c>
      <c r="C884" t="s">
        <v>13</v>
      </c>
      <c r="I884" t="s">
        <v>19</v>
      </c>
      <c r="J884" s="2">
        <f>AVERAGE(J872:J881)</f>
        <v>0.52891977601254914</v>
      </c>
      <c r="K884" s="2">
        <f>AVERAGE(K872:K881)</f>
        <v>0.49562518762876168</v>
      </c>
      <c r="U884" s="1">
        <f t="shared" si="261"/>
        <v>0.47935628183063322</v>
      </c>
    </row>
    <row r="885" spans="1:21" x14ac:dyDescent="0.25">
      <c r="A885" t="s">
        <v>2</v>
      </c>
      <c r="B885">
        <v>2.2730160903554899</v>
      </c>
      <c r="C885">
        <v>1.5170414144968301</v>
      </c>
      <c r="D885">
        <f t="shared" ref="D885:D894" si="262">B885-C885</f>
        <v>0.75597467585865985</v>
      </c>
      <c r="E885" s="1">
        <f t="shared" ref="E885:E894" si="263">D885/C885</f>
        <v>0.49832171266688879</v>
      </c>
      <c r="N885" t="s">
        <v>20</v>
      </c>
      <c r="O885" s="2">
        <f>MIN(U871:U890)</f>
        <v>0.33141987192801403</v>
      </c>
      <c r="U885" s="1">
        <f t="shared" si="261"/>
        <v>0.44845092365576222</v>
      </c>
    </row>
    <row r="886" spans="1:21" x14ac:dyDescent="0.25">
      <c r="A886" t="s">
        <v>3</v>
      </c>
      <c r="B886">
        <v>2.2434394511191602</v>
      </c>
      <c r="C886">
        <v>1.53032692157322</v>
      </c>
      <c r="D886">
        <f t="shared" si="262"/>
        <v>0.71311252954594018</v>
      </c>
      <c r="E886" s="1">
        <f t="shared" si="263"/>
        <v>0.46598705119350575</v>
      </c>
      <c r="N886" t="s">
        <v>21</v>
      </c>
      <c r="O886" s="2">
        <f>MAX(U871:U890)</f>
        <v>1.0681710428487605</v>
      </c>
      <c r="U886" s="1">
        <f t="shared" si="261"/>
        <v>0.45162210063156139</v>
      </c>
    </row>
    <row r="887" spans="1:21" x14ac:dyDescent="0.25">
      <c r="A887" t="s">
        <v>4</v>
      </c>
      <c r="B887">
        <v>2.2902715247263998</v>
      </c>
      <c r="C887">
        <v>1.5449656016889399</v>
      </c>
      <c r="D887">
        <f t="shared" si="262"/>
        <v>0.74530592303745991</v>
      </c>
      <c r="E887" s="1">
        <f t="shared" si="263"/>
        <v>0.48240939618506679</v>
      </c>
      <c r="N887" t="s">
        <v>22</v>
      </c>
      <c r="O887" s="2">
        <f>AVERAGE(U871:U890)</f>
        <v>0.51227248182065543</v>
      </c>
      <c r="U887" s="1">
        <f t="shared" si="261"/>
        <v>0.46105250733562259</v>
      </c>
    </row>
    <row r="888" spans="1:21" x14ac:dyDescent="0.25">
      <c r="A888" t="s">
        <v>5</v>
      </c>
      <c r="B888">
        <v>2.3131394996708301</v>
      </c>
      <c r="C888">
        <v>1.5636121792165101</v>
      </c>
      <c r="D888">
        <f t="shared" si="262"/>
        <v>0.74952732045432002</v>
      </c>
      <c r="E888" s="1">
        <f t="shared" si="263"/>
        <v>0.47935628183063322</v>
      </c>
      <c r="U888" s="1">
        <f t="shared" si="261"/>
        <v>0.38446530332621209</v>
      </c>
    </row>
    <row r="889" spans="1:21" x14ac:dyDescent="0.25">
      <c r="A889" t="s">
        <v>6</v>
      </c>
      <c r="B889">
        <v>2.2699790396642401</v>
      </c>
      <c r="C889">
        <v>1.5671770458988099</v>
      </c>
      <c r="D889">
        <f t="shared" si="262"/>
        <v>0.70280199376543018</v>
      </c>
      <c r="E889" s="1">
        <f t="shared" si="263"/>
        <v>0.44845092365576222</v>
      </c>
      <c r="U889" s="1">
        <f t="shared" si="261"/>
        <v>0.33141987192801403</v>
      </c>
    </row>
    <row r="890" spans="1:21" x14ac:dyDescent="0.25">
      <c r="A890" t="s">
        <v>7</v>
      </c>
      <c r="B890">
        <v>2.3142535497407999</v>
      </c>
      <c r="C890">
        <v>1.59425345531315</v>
      </c>
      <c r="D890">
        <f t="shared" si="262"/>
        <v>0.72000009442764989</v>
      </c>
      <c r="E890" s="1">
        <f t="shared" si="263"/>
        <v>0.45162210063156139</v>
      </c>
      <c r="U890" s="1">
        <f t="shared" si="261"/>
        <v>0.95316672753435028</v>
      </c>
    </row>
    <row r="891" spans="1:21" x14ac:dyDescent="0.25">
      <c r="A891" t="s">
        <v>8</v>
      </c>
      <c r="B891">
        <v>2.3466869478275201</v>
      </c>
      <c r="C891">
        <v>1.6061619524591499</v>
      </c>
      <c r="D891">
        <f t="shared" si="262"/>
        <v>0.74052499536837013</v>
      </c>
      <c r="E891" s="1">
        <f t="shared" si="263"/>
        <v>0.46105250733562259</v>
      </c>
    </row>
    <row r="892" spans="1:21" x14ac:dyDescent="0.25">
      <c r="A892" t="s">
        <v>9</v>
      </c>
      <c r="B892">
        <v>2.33055495062542</v>
      </c>
      <c r="C892">
        <v>1.6833610383923701</v>
      </c>
      <c r="D892">
        <f t="shared" si="262"/>
        <v>0.6471939122330499</v>
      </c>
      <c r="E892" s="1">
        <f t="shared" si="263"/>
        <v>0.38446530332621209</v>
      </c>
    </row>
    <row r="893" spans="1:21" x14ac:dyDescent="0.25">
      <c r="A893" t="s">
        <v>10</v>
      </c>
      <c r="B893">
        <v>2.3995804089525201</v>
      </c>
      <c r="C893">
        <v>1.8022717397763599</v>
      </c>
      <c r="D893">
        <f t="shared" si="262"/>
        <v>0.59730866917616021</v>
      </c>
      <c r="E893" s="1">
        <f t="shared" si="263"/>
        <v>0.33141987192801403</v>
      </c>
    </row>
    <row r="894" spans="1:21" x14ac:dyDescent="0.25">
      <c r="A894" t="s">
        <v>11</v>
      </c>
      <c r="B894">
        <v>7.3912863860774998</v>
      </c>
      <c r="C894">
        <v>3.7842577809054498</v>
      </c>
      <c r="D894">
        <f t="shared" si="262"/>
        <v>3.6070286051720499</v>
      </c>
      <c r="E894" s="1">
        <f t="shared" si="263"/>
        <v>0.95316672753435028</v>
      </c>
    </row>
    <row r="896" spans="1:21" x14ac:dyDescent="0.25">
      <c r="A896" s="6" t="s">
        <v>61</v>
      </c>
      <c r="B896" s="6"/>
    </row>
    <row r="898" spans="1:25" x14ac:dyDescent="0.25">
      <c r="A898" t="s">
        <v>1</v>
      </c>
      <c r="B898" t="s">
        <v>12</v>
      </c>
      <c r="C898" t="s">
        <v>13</v>
      </c>
      <c r="E898" t="s">
        <v>15</v>
      </c>
      <c r="I898" t="s">
        <v>16</v>
      </c>
      <c r="J898" t="s">
        <v>17</v>
      </c>
      <c r="K898" t="s">
        <v>18</v>
      </c>
      <c r="U898" s="1">
        <f t="shared" ref="U898:U907" si="264">J899</f>
        <v>1.5926994176166747</v>
      </c>
      <c r="W898" s="2">
        <f>O912</f>
        <v>1.2096410377917306</v>
      </c>
      <c r="X898" s="2">
        <f>O913</f>
        <v>2.6634987997607711</v>
      </c>
      <c r="Y898" s="2">
        <f>O914</f>
        <v>1.566800246895744</v>
      </c>
    </row>
    <row r="899" spans="1:25" x14ac:dyDescent="0.25">
      <c r="A899" t="s">
        <v>2</v>
      </c>
      <c r="B899">
        <v>10.786899999999999</v>
      </c>
      <c r="C899">
        <v>4.1604900000000002</v>
      </c>
      <c r="D899">
        <f t="shared" ref="D899:D908" si="265">B899-C899</f>
        <v>6.626409999999999</v>
      </c>
      <c r="E899" s="1">
        <f t="shared" ref="E899:E908" si="266">D899/C899</f>
        <v>1.5926994176166747</v>
      </c>
      <c r="I899" t="s">
        <v>2</v>
      </c>
      <c r="J899" s="1">
        <f t="shared" ref="J899:J908" si="267">E899</f>
        <v>1.5926994176166747</v>
      </c>
      <c r="K899" s="1">
        <f t="shared" ref="K899:K908" si="268">E912</f>
        <v>1.5695771411540465</v>
      </c>
      <c r="U899" s="1">
        <f t="shared" si="264"/>
        <v>1.651164149597423</v>
      </c>
    </row>
    <row r="900" spans="1:25" x14ac:dyDescent="0.25">
      <c r="A900" t="s">
        <v>3</v>
      </c>
      <c r="B900">
        <v>10.889099999999999</v>
      </c>
      <c r="C900">
        <v>4.1072899999999999</v>
      </c>
      <c r="D900">
        <f t="shared" si="265"/>
        <v>6.7818099999999992</v>
      </c>
      <c r="E900" s="1">
        <f t="shared" si="266"/>
        <v>1.651164149597423</v>
      </c>
      <c r="I900" t="s">
        <v>3</v>
      </c>
      <c r="J900" s="1">
        <f t="shared" si="267"/>
        <v>1.651164149597423</v>
      </c>
      <c r="K900" s="1">
        <f t="shared" si="268"/>
        <v>1.5621516863917573</v>
      </c>
      <c r="U900" s="1">
        <f t="shared" si="264"/>
        <v>1.5794400590824949</v>
      </c>
    </row>
    <row r="901" spans="1:25" x14ac:dyDescent="0.25">
      <c r="A901" t="s">
        <v>4</v>
      </c>
      <c r="B901">
        <v>10.757400000000001</v>
      </c>
      <c r="C901">
        <v>4.1704400000000001</v>
      </c>
      <c r="D901">
        <f t="shared" si="265"/>
        <v>6.5869600000000004</v>
      </c>
      <c r="E901" s="1">
        <f t="shared" si="266"/>
        <v>1.5794400590824949</v>
      </c>
      <c r="I901" t="s">
        <v>4</v>
      </c>
      <c r="J901" s="1">
        <f t="shared" si="267"/>
        <v>1.5794400590824949</v>
      </c>
      <c r="K901" s="1">
        <f t="shared" si="268"/>
        <v>1.5221559355847343</v>
      </c>
      <c r="U901" s="1">
        <f t="shared" si="264"/>
        <v>1.4812482615076206</v>
      </c>
    </row>
    <row r="902" spans="1:25" x14ac:dyDescent="0.25">
      <c r="A902" t="s">
        <v>5</v>
      </c>
      <c r="B902">
        <v>10.3475</v>
      </c>
      <c r="C902">
        <v>4.17028</v>
      </c>
      <c r="D902">
        <f t="shared" si="265"/>
        <v>6.1772200000000002</v>
      </c>
      <c r="E902" s="1">
        <f t="shared" si="266"/>
        <v>1.4812482615076206</v>
      </c>
      <c r="I902" t="s">
        <v>5</v>
      </c>
      <c r="J902" s="1">
        <f t="shared" si="267"/>
        <v>1.4812482615076206</v>
      </c>
      <c r="K902" s="1">
        <f t="shared" si="268"/>
        <v>1.4852527887815687</v>
      </c>
      <c r="U902" s="1">
        <f t="shared" si="264"/>
        <v>1.5173742331288342</v>
      </c>
    </row>
    <row r="903" spans="1:25" x14ac:dyDescent="0.25">
      <c r="A903" t="s">
        <v>6</v>
      </c>
      <c r="B903">
        <v>10.2583</v>
      </c>
      <c r="C903">
        <v>4.0750000000000002</v>
      </c>
      <c r="D903">
        <f t="shared" si="265"/>
        <v>6.1833</v>
      </c>
      <c r="E903" s="1">
        <f t="shared" si="266"/>
        <v>1.5173742331288342</v>
      </c>
      <c r="I903" t="s">
        <v>6</v>
      </c>
      <c r="J903" s="1">
        <f t="shared" si="267"/>
        <v>1.5173742331288342</v>
      </c>
      <c r="K903" s="1">
        <f t="shared" si="268"/>
        <v>1.4791165644171778</v>
      </c>
      <c r="U903" s="1">
        <f t="shared" si="264"/>
        <v>1.4976908614376205</v>
      </c>
    </row>
    <row r="904" spans="1:25" x14ac:dyDescent="0.25">
      <c r="A904" t="s">
        <v>7</v>
      </c>
      <c r="B904">
        <v>10.654299999999999</v>
      </c>
      <c r="C904">
        <v>4.2656599999999996</v>
      </c>
      <c r="D904">
        <f t="shared" si="265"/>
        <v>6.3886399999999997</v>
      </c>
      <c r="E904" s="1">
        <f t="shared" si="266"/>
        <v>1.4976908614376205</v>
      </c>
      <c r="I904" t="s">
        <v>7</v>
      </c>
      <c r="J904" s="1">
        <f t="shared" si="267"/>
        <v>1.4976908614376205</v>
      </c>
      <c r="K904" s="1">
        <f t="shared" si="268"/>
        <v>1.4281119451620619</v>
      </c>
      <c r="U904" s="1">
        <f t="shared" si="264"/>
        <v>1.4498842710256732</v>
      </c>
    </row>
    <row r="905" spans="1:25" x14ac:dyDescent="0.25">
      <c r="A905" t="s">
        <v>8</v>
      </c>
      <c r="B905">
        <v>10.362299999999999</v>
      </c>
      <c r="C905">
        <v>4.2297099999999999</v>
      </c>
      <c r="D905">
        <f t="shared" si="265"/>
        <v>6.1325899999999995</v>
      </c>
      <c r="E905" s="1">
        <f t="shared" si="266"/>
        <v>1.4498842710256732</v>
      </c>
      <c r="I905" t="s">
        <v>8</v>
      </c>
      <c r="J905" s="1">
        <f t="shared" si="267"/>
        <v>1.4498842710256732</v>
      </c>
      <c r="K905" s="1">
        <f t="shared" si="268"/>
        <v>1.4593175418645725</v>
      </c>
      <c r="U905" s="1">
        <f t="shared" si="264"/>
        <v>1.2715288282471839</v>
      </c>
    </row>
    <row r="906" spans="1:25" x14ac:dyDescent="0.25">
      <c r="A906" t="s">
        <v>9</v>
      </c>
      <c r="B906">
        <v>9.7457899999999995</v>
      </c>
      <c r="C906">
        <v>4.2904099999999996</v>
      </c>
      <c r="D906">
        <f t="shared" si="265"/>
        <v>5.4553799999999999</v>
      </c>
      <c r="E906" s="1">
        <f t="shared" si="266"/>
        <v>1.2715288282471839</v>
      </c>
      <c r="I906" t="s">
        <v>9</v>
      </c>
      <c r="J906" s="1">
        <f t="shared" si="267"/>
        <v>1.2715288282471839</v>
      </c>
      <c r="K906" s="1">
        <f t="shared" si="268"/>
        <v>1.3250575119860342</v>
      </c>
      <c r="U906" s="1">
        <f t="shared" si="264"/>
        <v>1.2259590095960193</v>
      </c>
    </row>
    <row r="907" spans="1:25" x14ac:dyDescent="0.25">
      <c r="A907" t="s">
        <v>10</v>
      </c>
      <c r="B907">
        <v>9.39466</v>
      </c>
      <c r="C907">
        <v>4.2205000000000004</v>
      </c>
      <c r="D907">
        <f t="shared" si="265"/>
        <v>5.1741599999999996</v>
      </c>
      <c r="E907" s="1">
        <f t="shared" si="266"/>
        <v>1.2259590095960193</v>
      </c>
      <c r="I907" t="s">
        <v>10</v>
      </c>
      <c r="J907" s="1">
        <f t="shared" si="267"/>
        <v>1.2259590095960193</v>
      </c>
      <c r="K907" s="1">
        <f t="shared" si="268"/>
        <v>1.2096410377917306</v>
      </c>
      <c r="U907" s="1">
        <f t="shared" si="264"/>
        <v>2.6634987997607711</v>
      </c>
    </row>
    <row r="908" spans="1:25" x14ac:dyDescent="0.25">
      <c r="A908" t="s">
        <v>11</v>
      </c>
      <c r="B908">
        <v>44.716299999999997</v>
      </c>
      <c r="C908">
        <v>12.2059</v>
      </c>
      <c r="D908">
        <f t="shared" si="265"/>
        <v>32.510399999999997</v>
      </c>
      <c r="E908" s="1">
        <f t="shared" si="266"/>
        <v>2.6634987997607711</v>
      </c>
      <c r="I908" t="s">
        <v>11</v>
      </c>
      <c r="J908" s="1">
        <f t="shared" si="267"/>
        <v>2.6634987997607711</v>
      </c>
      <c r="K908" s="1">
        <f t="shared" si="268"/>
        <v>2.3651348937808767</v>
      </c>
      <c r="U908" s="1">
        <f t="shared" ref="U908:U917" si="269">K899</f>
        <v>1.5695771411540465</v>
      </c>
    </row>
    <row r="909" spans="1:25" x14ac:dyDescent="0.25">
      <c r="U909" s="1">
        <f t="shared" si="269"/>
        <v>1.5621516863917573</v>
      </c>
    </row>
    <row r="910" spans="1:25" x14ac:dyDescent="0.25">
      <c r="U910" s="1">
        <f t="shared" si="269"/>
        <v>1.5221559355847343</v>
      </c>
    </row>
    <row r="911" spans="1:25" x14ac:dyDescent="0.25">
      <c r="A911" t="s">
        <v>1</v>
      </c>
      <c r="B911" t="s">
        <v>14</v>
      </c>
      <c r="C911" t="s">
        <v>13</v>
      </c>
      <c r="I911" t="s">
        <v>19</v>
      </c>
      <c r="J911" s="2">
        <f>AVERAGE(J899:J908)</f>
        <v>1.5930487891000318</v>
      </c>
      <c r="K911" s="2">
        <f>AVERAGE(K899:K908)</f>
        <v>1.5405517046914561</v>
      </c>
      <c r="U911" s="1">
        <f t="shared" si="269"/>
        <v>1.4852527887815687</v>
      </c>
    </row>
    <row r="912" spans="1:25" x14ac:dyDescent="0.25">
      <c r="A912" t="s">
        <v>2</v>
      </c>
      <c r="B912">
        <v>10.6907</v>
      </c>
      <c r="C912">
        <v>4.1604900000000002</v>
      </c>
      <c r="D912">
        <f t="shared" ref="D912:D921" si="270">B912-C912</f>
        <v>6.5302099999999994</v>
      </c>
      <c r="E912" s="1">
        <f t="shared" ref="E912:E921" si="271">D912/C912</f>
        <v>1.5695771411540465</v>
      </c>
      <c r="N912" t="s">
        <v>20</v>
      </c>
      <c r="O912" s="2">
        <f>MIN(U898:U917)</f>
        <v>1.2096410377917306</v>
      </c>
      <c r="U912" s="1">
        <f t="shared" si="269"/>
        <v>1.4791165644171778</v>
      </c>
    </row>
    <row r="913" spans="1:25" x14ac:dyDescent="0.25">
      <c r="A913" t="s">
        <v>3</v>
      </c>
      <c r="B913">
        <v>10.5235</v>
      </c>
      <c r="C913">
        <v>4.1072899999999999</v>
      </c>
      <c r="D913">
        <f t="shared" si="270"/>
        <v>6.4162100000000004</v>
      </c>
      <c r="E913" s="1">
        <f t="shared" si="271"/>
        <v>1.5621516863917573</v>
      </c>
      <c r="N913" t="s">
        <v>21</v>
      </c>
      <c r="O913" s="2">
        <f>MAX(U898:U917)</f>
        <v>2.6634987997607711</v>
      </c>
      <c r="U913" s="1">
        <f t="shared" si="269"/>
        <v>1.4281119451620619</v>
      </c>
    </row>
    <row r="914" spans="1:25" x14ac:dyDescent="0.25">
      <c r="A914" t="s">
        <v>4</v>
      </c>
      <c r="B914">
        <v>10.5185</v>
      </c>
      <c r="C914">
        <v>4.1704400000000001</v>
      </c>
      <c r="D914">
        <f t="shared" si="270"/>
        <v>6.3480599999999994</v>
      </c>
      <c r="E914" s="1">
        <f t="shared" si="271"/>
        <v>1.5221559355847343</v>
      </c>
      <c r="N914" t="s">
        <v>22</v>
      </c>
      <c r="O914" s="2">
        <f>AVERAGE(U898:U917)</f>
        <v>1.566800246895744</v>
      </c>
      <c r="U914" s="1">
        <f t="shared" si="269"/>
        <v>1.4593175418645725</v>
      </c>
    </row>
    <row r="915" spans="1:25" x14ac:dyDescent="0.25">
      <c r="A915" t="s">
        <v>5</v>
      </c>
      <c r="B915">
        <v>10.3642</v>
      </c>
      <c r="C915">
        <v>4.17028</v>
      </c>
      <c r="D915">
        <f t="shared" si="270"/>
        <v>6.1939200000000003</v>
      </c>
      <c r="E915" s="1">
        <f t="shared" si="271"/>
        <v>1.4852527887815687</v>
      </c>
      <c r="U915" s="1">
        <f t="shared" si="269"/>
        <v>1.3250575119860342</v>
      </c>
    </row>
    <row r="916" spans="1:25" x14ac:dyDescent="0.25">
      <c r="A916" t="s">
        <v>6</v>
      </c>
      <c r="B916">
        <v>10.102399999999999</v>
      </c>
      <c r="C916">
        <v>4.0750000000000002</v>
      </c>
      <c r="D916">
        <f t="shared" si="270"/>
        <v>6.0273999999999992</v>
      </c>
      <c r="E916" s="1">
        <f t="shared" si="271"/>
        <v>1.4791165644171778</v>
      </c>
      <c r="U916" s="1">
        <f t="shared" si="269"/>
        <v>1.2096410377917306</v>
      </c>
    </row>
    <row r="917" spans="1:25" x14ac:dyDescent="0.25">
      <c r="A917" t="s">
        <v>7</v>
      </c>
      <c r="B917">
        <v>10.3575</v>
      </c>
      <c r="C917">
        <v>4.2656599999999996</v>
      </c>
      <c r="D917">
        <f t="shared" si="270"/>
        <v>6.0918400000000004</v>
      </c>
      <c r="E917" s="1">
        <f t="shared" si="271"/>
        <v>1.4281119451620619</v>
      </c>
      <c r="U917" s="1">
        <f t="shared" si="269"/>
        <v>2.3651348937808767</v>
      </c>
    </row>
    <row r="918" spans="1:25" x14ac:dyDescent="0.25">
      <c r="A918" t="s">
        <v>8</v>
      </c>
      <c r="B918">
        <v>10.402200000000001</v>
      </c>
      <c r="C918">
        <v>4.2297099999999999</v>
      </c>
      <c r="D918">
        <f t="shared" si="270"/>
        <v>6.1724900000000007</v>
      </c>
      <c r="E918" s="1">
        <f t="shared" si="271"/>
        <v>1.4593175418645725</v>
      </c>
    </row>
    <row r="919" spans="1:25" x14ac:dyDescent="0.25">
      <c r="A919" t="s">
        <v>9</v>
      </c>
      <c r="B919">
        <v>9.9754500000000004</v>
      </c>
      <c r="C919">
        <v>4.2904099999999996</v>
      </c>
      <c r="D919">
        <f t="shared" si="270"/>
        <v>5.6850400000000008</v>
      </c>
      <c r="E919" s="1">
        <f t="shared" si="271"/>
        <v>1.3250575119860342</v>
      </c>
    </row>
    <row r="920" spans="1:25" x14ac:dyDescent="0.25">
      <c r="A920" t="s">
        <v>10</v>
      </c>
      <c r="B920">
        <v>9.3257899999999996</v>
      </c>
      <c r="C920">
        <v>4.2205000000000004</v>
      </c>
      <c r="D920">
        <f t="shared" si="270"/>
        <v>5.1052899999999992</v>
      </c>
      <c r="E920" s="1">
        <f t="shared" si="271"/>
        <v>1.2096410377917306</v>
      </c>
    </row>
    <row r="921" spans="1:25" x14ac:dyDescent="0.25">
      <c r="A921" t="s">
        <v>11</v>
      </c>
      <c r="B921">
        <v>41.0745</v>
      </c>
      <c r="C921">
        <v>12.2059</v>
      </c>
      <c r="D921">
        <f t="shared" si="270"/>
        <v>28.868600000000001</v>
      </c>
      <c r="E921" s="1">
        <f t="shared" si="271"/>
        <v>2.3651348937808767</v>
      </c>
    </row>
    <row r="923" spans="1:25" x14ac:dyDescent="0.25">
      <c r="A923" s="6" t="s">
        <v>62</v>
      </c>
      <c r="B923" s="6"/>
    </row>
    <row r="925" spans="1:25" x14ac:dyDescent="0.25">
      <c r="A925" t="s">
        <v>1</v>
      </c>
      <c r="B925" t="s">
        <v>12</v>
      </c>
      <c r="C925" t="s">
        <v>13</v>
      </c>
      <c r="E925" t="s">
        <v>15</v>
      </c>
      <c r="I925" t="s">
        <v>16</v>
      </c>
      <c r="J925" t="s">
        <v>17</v>
      </c>
      <c r="K925" t="s">
        <v>18</v>
      </c>
      <c r="U925" s="1">
        <f t="shared" ref="U925:U934" si="272">J926</f>
        <v>0.81920311396017254</v>
      </c>
      <c r="W925" s="2">
        <f>O939</f>
        <v>0.49678091032973332</v>
      </c>
      <c r="X925" s="2">
        <f>O940</f>
        <v>1.1788437460907253</v>
      </c>
      <c r="Y925" s="2">
        <f>O941</f>
        <v>0.74954870484765002</v>
      </c>
    </row>
    <row r="926" spans="1:25" x14ac:dyDescent="0.25">
      <c r="A926" t="s">
        <v>2</v>
      </c>
      <c r="B926">
        <v>3.12936422149656</v>
      </c>
      <c r="C926">
        <v>1.7201840726208599</v>
      </c>
      <c r="D926">
        <f t="shared" ref="D926:D935" si="273">B926-C926</f>
        <v>1.4091801488757001</v>
      </c>
      <c r="E926" s="1">
        <f t="shared" ref="E926:E935" si="274">D926/C926</f>
        <v>0.81920311396017254</v>
      </c>
      <c r="I926" t="s">
        <v>2</v>
      </c>
      <c r="J926" s="1">
        <f t="shared" ref="J926:J935" si="275">E926</f>
        <v>0.81920311396017254</v>
      </c>
      <c r="K926" s="1">
        <f t="shared" ref="K926:K935" si="276">E939</f>
        <v>0.74059350284968528</v>
      </c>
      <c r="U926" s="1">
        <f t="shared" si="272"/>
        <v>0.81966793159240003</v>
      </c>
    </row>
    <row r="927" spans="1:25" x14ac:dyDescent="0.25">
      <c r="A927" t="s">
        <v>3</v>
      </c>
      <c r="B927">
        <v>3.1442064746751801</v>
      </c>
      <c r="C927">
        <v>1.7279012396089599</v>
      </c>
      <c r="D927">
        <f t="shared" si="273"/>
        <v>1.4163052350662202</v>
      </c>
      <c r="E927" s="1">
        <f t="shared" si="274"/>
        <v>0.81966793159240003</v>
      </c>
      <c r="I927" t="s">
        <v>3</v>
      </c>
      <c r="J927" s="1">
        <f t="shared" si="275"/>
        <v>0.81966793159240003</v>
      </c>
      <c r="K927" s="1">
        <f t="shared" si="276"/>
        <v>0.72635808212181463</v>
      </c>
      <c r="U927" s="1">
        <f t="shared" si="272"/>
        <v>0.81194810547830742</v>
      </c>
    </row>
    <row r="928" spans="1:25" x14ac:dyDescent="0.25">
      <c r="A928" t="s">
        <v>4</v>
      </c>
      <c r="B928">
        <v>3.14261157518066</v>
      </c>
      <c r="C928">
        <v>1.7343827704994299</v>
      </c>
      <c r="D928">
        <f t="shared" si="273"/>
        <v>1.4082288046812301</v>
      </c>
      <c r="E928" s="1">
        <f t="shared" si="274"/>
        <v>0.81194810547830742</v>
      </c>
      <c r="I928" t="s">
        <v>4</v>
      </c>
      <c r="J928" s="1">
        <f t="shared" si="275"/>
        <v>0.81194810547830742</v>
      </c>
      <c r="K928" s="1">
        <f t="shared" si="276"/>
        <v>0.73276383066153605</v>
      </c>
      <c r="U928" s="1">
        <f t="shared" si="272"/>
        <v>0.76927145507011441</v>
      </c>
    </row>
    <row r="929" spans="1:21" x14ac:dyDescent="0.25">
      <c r="A929" t="s">
        <v>5</v>
      </c>
      <c r="B929">
        <v>3.1288182163701999</v>
      </c>
      <c r="C929">
        <v>1.76842180288621</v>
      </c>
      <c r="D929">
        <f t="shared" si="273"/>
        <v>1.3603964134839899</v>
      </c>
      <c r="E929" s="1">
        <f t="shared" si="274"/>
        <v>0.76927145507011441</v>
      </c>
      <c r="I929" t="s">
        <v>5</v>
      </c>
      <c r="J929" s="1">
        <f t="shared" si="275"/>
        <v>0.76927145507011441</v>
      </c>
      <c r="K929" s="1">
        <f t="shared" si="276"/>
        <v>0.69157005021461715</v>
      </c>
      <c r="U929" s="1">
        <f t="shared" si="272"/>
        <v>0.75831682278407386</v>
      </c>
    </row>
    <row r="930" spans="1:21" x14ac:dyDescent="0.25">
      <c r="A930" t="s">
        <v>6</v>
      </c>
      <c r="B930">
        <v>3.1379014361147899</v>
      </c>
      <c r="C930">
        <v>1.78460525171244</v>
      </c>
      <c r="D930">
        <f t="shared" si="273"/>
        <v>1.3532961844023499</v>
      </c>
      <c r="E930" s="1">
        <f t="shared" si="274"/>
        <v>0.75831682278407386</v>
      </c>
      <c r="I930" t="s">
        <v>6</v>
      </c>
      <c r="J930" s="1">
        <f t="shared" si="275"/>
        <v>0.75831682278407386</v>
      </c>
      <c r="K930" s="1">
        <f t="shared" si="276"/>
        <v>0.68489437776325013</v>
      </c>
      <c r="U930" s="1">
        <f t="shared" si="272"/>
        <v>0.73307117140960987</v>
      </c>
    </row>
    <row r="931" spans="1:21" x14ac:dyDescent="0.25">
      <c r="A931" t="s">
        <v>7</v>
      </c>
      <c r="B931">
        <v>3.1055888431876602</v>
      </c>
      <c r="C931">
        <v>1.7919568996475199</v>
      </c>
      <c r="D931">
        <f t="shared" si="273"/>
        <v>1.3136319435401402</v>
      </c>
      <c r="E931" s="1">
        <f t="shared" si="274"/>
        <v>0.73307117140960987</v>
      </c>
      <c r="I931" t="s">
        <v>7</v>
      </c>
      <c r="J931" s="1">
        <f t="shared" si="275"/>
        <v>0.73307117140960987</v>
      </c>
      <c r="K931" s="1">
        <f t="shared" si="276"/>
        <v>0.67800862881908286</v>
      </c>
      <c r="U931" s="1">
        <f t="shared" si="272"/>
        <v>0.71831719550150996</v>
      </c>
    </row>
    <row r="932" spans="1:21" x14ac:dyDescent="0.25">
      <c r="A932" t="s">
        <v>8</v>
      </c>
      <c r="B932">
        <v>3.11652851386091</v>
      </c>
      <c r="C932">
        <v>1.8137096701469699</v>
      </c>
      <c r="D932">
        <f t="shared" si="273"/>
        <v>1.3028188437139401</v>
      </c>
      <c r="E932" s="1">
        <f t="shared" si="274"/>
        <v>0.71831719550150996</v>
      </c>
      <c r="I932" t="s">
        <v>8</v>
      </c>
      <c r="J932" s="1">
        <f t="shared" si="275"/>
        <v>0.71831719550150996</v>
      </c>
      <c r="K932" s="1">
        <f t="shared" si="276"/>
        <v>0.65704174499201118</v>
      </c>
      <c r="U932" s="1">
        <f t="shared" si="272"/>
        <v>0.67003090156376599</v>
      </c>
    </row>
    <row r="933" spans="1:21" x14ac:dyDescent="0.25">
      <c r="A933" t="s">
        <v>9</v>
      </c>
      <c r="B933">
        <v>3.1376751584213198</v>
      </c>
      <c r="C933">
        <v>1.8788126348340599</v>
      </c>
      <c r="D933">
        <f t="shared" si="273"/>
        <v>1.2588625235872599</v>
      </c>
      <c r="E933" s="1">
        <f t="shared" si="274"/>
        <v>0.67003090156376599</v>
      </c>
      <c r="I933" t="s">
        <v>9</v>
      </c>
      <c r="J933" s="1">
        <f t="shared" si="275"/>
        <v>0.67003090156376599</v>
      </c>
      <c r="K933" s="1">
        <f t="shared" si="276"/>
        <v>0.61320381692805959</v>
      </c>
      <c r="U933" s="1">
        <f t="shared" si="272"/>
        <v>0.54835635882386413</v>
      </c>
    </row>
    <row r="934" spans="1:21" x14ac:dyDescent="0.25">
      <c r="A934" t="s">
        <v>10</v>
      </c>
      <c r="B934">
        <v>3.1249242843246301</v>
      </c>
      <c r="C934">
        <v>2.0182203318481098</v>
      </c>
      <c r="D934">
        <f t="shared" si="273"/>
        <v>1.1067039524765203</v>
      </c>
      <c r="E934" s="1">
        <f t="shared" si="274"/>
        <v>0.54835635882386413</v>
      </c>
      <c r="I934" t="s">
        <v>10</v>
      </c>
      <c r="J934" s="1">
        <f t="shared" si="275"/>
        <v>0.54835635882386413</v>
      </c>
      <c r="K934" s="1">
        <f t="shared" si="276"/>
        <v>0.49678091032973332</v>
      </c>
      <c r="U934" s="1">
        <f t="shared" si="272"/>
        <v>1.1788437460907253</v>
      </c>
    </row>
    <row r="935" spans="1:21" x14ac:dyDescent="0.25">
      <c r="A935" t="s">
        <v>11</v>
      </c>
      <c r="B935">
        <v>9.9593805787535707</v>
      </c>
      <c r="C935">
        <v>4.57094759393493</v>
      </c>
      <c r="D935">
        <f t="shared" si="273"/>
        <v>5.3884329848186407</v>
      </c>
      <c r="E935" s="1">
        <f t="shared" si="274"/>
        <v>1.1788437460907253</v>
      </c>
      <c r="I935" t="s">
        <v>11</v>
      </c>
      <c r="J935" s="1">
        <f t="shared" si="275"/>
        <v>1.1788437460907253</v>
      </c>
      <c r="K935" s="1">
        <f t="shared" si="276"/>
        <v>1.1427323499986679</v>
      </c>
      <c r="U935" s="1">
        <f t="shared" ref="U935:U944" si="277">K926</f>
        <v>0.74059350284968528</v>
      </c>
    </row>
    <row r="936" spans="1:21" x14ac:dyDescent="0.25">
      <c r="U936" s="1">
        <f t="shared" si="277"/>
        <v>0.72635808212181463</v>
      </c>
    </row>
    <row r="937" spans="1:21" x14ac:dyDescent="0.25">
      <c r="U937" s="1">
        <f t="shared" si="277"/>
        <v>0.73276383066153605</v>
      </c>
    </row>
    <row r="938" spans="1:21" x14ac:dyDescent="0.25">
      <c r="A938" t="s">
        <v>1</v>
      </c>
      <c r="B938" t="s">
        <v>14</v>
      </c>
      <c r="C938" t="s">
        <v>13</v>
      </c>
      <c r="I938" t="s">
        <v>19</v>
      </c>
      <c r="J938" s="2">
        <f>AVERAGE(J926:J935)</f>
        <v>0.78270268022745415</v>
      </c>
      <c r="K938" s="2">
        <f>AVERAGE(K926:K935)</f>
        <v>0.71639472946784577</v>
      </c>
      <c r="U938" s="1">
        <f t="shared" si="277"/>
        <v>0.69157005021461715</v>
      </c>
    </row>
    <row r="939" spans="1:21" x14ac:dyDescent="0.25">
      <c r="A939" t="s">
        <v>2</v>
      </c>
      <c r="B939">
        <v>2.99414122050938</v>
      </c>
      <c r="C939">
        <v>1.7201840726208599</v>
      </c>
      <c r="D939">
        <f t="shared" ref="D939:D948" si="278">B939-C939</f>
        <v>1.2739571478885201</v>
      </c>
      <c r="E939" s="1">
        <f t="shared" ref="E939:E948" si="279">D939/C939</f>
        <v>0.74059350284968528</v>
      </c>
      <c r="N939" t="s">
        <v>20</v>
      </c>
      <c r="O939" s="2">
        <f>MIN(U925:U944)</f>
        <v>0.49678091032973332</v>
      </c>
      <c r="U939" s="1">
        <f t="shared" si="277"/>
        <v>0.68489437776325013</v>
      </c>
    </row>
    <row r="940" spans="1:21" x14ac:dyDescent="0.25">
      <c r="A940" t="s">
        <v>3</v>
      </c>
      <c r="B940">
        <v>2.9829762701072302</v>
      </c>
      <c r="C940">
        <v>1.7279012396089599</v>
      </c>
      <c r="D940">
        <f t="shared" si="278"/>
        <v>1.2550750304982703</v>
      </c>
      <c r="E940" s="1">
        <f t="shared" si="279"/>
        <v>0.72635808212181463</v>
      </c>
      <c r="N940" t="s">
        <v>21</v>
      </c>
      <c r="O940" s="2">
        <f>MAX(U925:U944)</f>
        <v>1.1788437460907253</v>
      </c>
      <c r="U940" s="1">
        <f t="shared" si="277"/>
        <v>0.67800862881908286</v>
      </c>
    </row>
    <row r="941" spans="1:21" x14ac:dyDescent="0.25">
      <c r="A941" t="s">
        <v>4</v>
      </c>
      <c r="B941">
        <v>3.0052757332439599</v>
      </c>
      <c r="C941">
        <v>1.7343827704994299</v>
      </c>
      <c r="D941">
        <f t="shared" si="278"/>
        <v>1.27089296274453</v>
      </c>
      <c r="E941" s="1">
        <f t="shared" si="279"/>
        <v>0.73276383066153605</v>
      </c>
      <c r="N941" t="s">
        <v>22</v>
      </c>
      <c r="O941" s="2">
        <f>AVERAGE(U925:U944)</f>
        <v>0.74954870484765002</v>
      </c>
      <c r="U941" s="1">
        <f t="shared" si="277"/>
        <v>0.65704174499201118</v>
      </c>
    </row>
    <row r="942" spans="1:21" x14ac:dyDescent="0.25">
      <c r="A942" t="s">
        <v>5</v>
      </c>
      <c r="B942">
        <v>2.9914093579088501</v>
      </c>
      <c r="C942">
        <v>1.76842180288621</v>
      </c>
      <c r="D942">
        <f t="shared" si="278"/>
        <v>1.2229875550226401</v>
      </c>
      <c r="E942" s="1">
        <f t="shared" si="279"/>
        <v>0.69157005021461715</v>
      </c>
      <c r="U942" s="1">
        <f t="shared" si="277"/>
        <v>0.61320381692805959</v>
      </c>
    </row>
    <row r="943" spans="1:21" x14ac:dyDescent="0.25">
      <c r="A943" t="s">
        <v>6</v>
      </c>
      <c r="B943">
        <v>3.0068713551370601</v>
      </c>
      <c r="C943">
        <v>1.78460525171244</v>
      </c>
      <c r="D943">
        <f t="shared" si="278"/>
        <v>1.2222661034246201</v>
      </c>
      <c r="E943" s="1">
        <f t="shared" si="279"/>
        <v>0.68489437776325013</v>
      </c>
      <c r="U943" s="1">
        <f t="shared" si="277"/>
        <v>0.49678091032973332</v>
      </c>
    </row>
    <row r="944" spans="1:21" x14ac:dyDescent="0.25">
      <c r="A944" t="s">
        <v>7</v>
      </c>
      <c r="B944">
        <v>3.0069191400804298</v>
      </c>
      <c r="C944">
        <v>1.7919568996475199</v>
      </c>
      <c r="D944">
        <f t="shared" si="278"/>
        <v>1.2149622404329099</v>
      </c>
      <c r="E944" s="1">
        <f t="shared" si="279"/>
        <v>0.67800862881908286</v>
      </c>
      <c r="U944" s="1">
        <f t="shared" si="277"/>
        <v>1.1427323499986679</v>
      </c>
    </row>
    <row r="945" spans="1:25" x14ac:dyDescent="0.25">
      <c r="A945" t="s">
        <v>8</v>
      </c>
      <c r="B945">
        <v>3.0053926367292201</v>
      </c>
      <c r="C945">
        <v>1.8137096701469699</v>
      </c>
      <c r="D945">
        <f t="shared" si="278"/>
        <v>1.1916829665822501</v>
      </c>
      <c r="E945" s="1">
        <f t="shared" si="279"/>
        <v>0.65704174499201118</v>
      </c>
    </row>
    <row r="946" spans="1:25" x14ac:dyDescent="0.25">
      <c r="A946" t="s">
        <v>9</v>
      </c>
      <c r="B946">
        <v>3.03090771380697</v>
      </c>
      <c r="C946">
        <v>1.8788126348340599</v>
      </c>
      <c r="D946">
        <f t="shared" si="278"/>
        <v>1.1520950789729101</v>
      </c>
      <c r="E946" s="1">
        <f t="shared" si="279"/>
        <v>0.61320381692805959</v>
      </c>
    </row>
    <row r="947" spans="1:25" x14ac:dyDescent="0.25">
      <c r="A947" t="s">
        <v>10</v>
      </c>
      <c r="B947">
        <v>3.0208336655495902</v>
      </c>
      <c r="C947">
        <v>2.0182203318481098</v>
      </c>
      <c r="D947">
        <f t="shared" si="278"/>
        <v>1.0026133337014804</v>
      </c>
      <c r="E947" s="1">
        <f t="shared" si="279"/>
        <v>0.49678091032973332</v>
      </c>
    </row>
    <row r="948" spans="1:25" x14ac:dyDescent="0.25">
      <c r="A948" t="s">
        <v>11</v>
      </c>
      <c r="B948">
        <v>9.7943172796729492</v>
      </c>
      <c r="C948">
        <v>4.57094759393493</v>
      </c>
      <c r="D948">
        <f t="shared" si="278"/>
        <v>5.2233696857380192</v>
      </c>
      <c r="E948" s="1">
        <f t="shared" si="279"/>
        <v>1.1427323499986679</v>
      </c>
    </row>
    <row r="950" spans="1:25" x14ac:dyDescent="0.25">
      <c r="A950" s="6" t="s">
        <v>63</v>
      </c>
      <c r="B950" s="6"/>
    </row>
    <row r="952" spans="1:25" x14ac:dyDescent="0.25">
      <c r="A952" t="s">
        <v>1</v>
      </c>
      <c r="B952" t="s">
        <v>12</v>
      </c>
      <c r="C952" t="s">
        <v>13</v>
      </c>
      <c r="E952" t="s">
        <v>15</v>
      </c>
      <c r="I952" t="s">
        <v>16</v>
      </c>
      <c r="J952" t="s">
        <v>17</v>
      </c>
      <c r="K952" t="s">
        <v>18</v>
      </c>
      <c r="U952" s="1">
        <f t="shared" ref="U952:U961" si="280">J953</f>
        <v>2.2650924504711472</v>
      </c>
      <c r="W952" s="2">
        <f>O966</f>
        <v>1.3575793660638236</v>
      </c>
      <c r="X952" s="2">
        <f>O967</f>
        <v>3.0538471708090955</v>
      </c>
      <c r="Y952" s="2">
        <f>O968</f>
        <v>1.9519933420968882</v>
      </c>
    </row>
    <row r="953" spans="1:25" x14ac:dyDescent="0.25">
      <c r="A953" t="s">
        <v>2</v>
      </c>
      <c r="B953">
        <v>16.060500000000001</v>
      </c>
      <c r="C953">
        <v>4.9188499999999999</v>
      </c>
      <c r="D953">
        <f t="shared" ref="D953:D962" si="281">B953-C953</f>
        <v>11.141650000000002</v>
      </c>
      <c r="E953" s="1">
        <f t="shared" ref="E953:E962" si="282">D953/C953</f>
        <v>2.2650924504711472</v>
      </c>
      <c r="I953" t="s">
        <v>2</v>
      </c>
      <c r="J953" s="1">
        <f t="shared" ref="J953:J962" si="283">E953</f>
        <v>2.2650924504711472</v>
      </c>
      <c r="K953" s="1">
        <f t="shared" ref="K953:K962" si="284">E966</f>
        <v>1.6264472386838389</v>
      </c>
      <c r="U953" s="1">
        <f t="shared" si="280"/>
        <v>2.1436536536334905</v>
      </c>
    </row>
    <row r="954" spans="1:25" x14ac:dyDescent="0.25">
      <c r="A954" t="s">
        <v>3</v>
      </c>
      <c r="B954">
        <v>15.6067</v>
      </c>
      <c r="C954">
        <v>4.9645099999999998</v>
      </c>
      <c r="D954">
        <f t="shared" si="281"/>
        <v>10.642189999999999</v>
      </c>
      <c r="E954" s="1">
        <f t="shared" si="282"/>
        <v>2.1436536536334905</v>
      </c>
      <c r="I954" t="s">
        <v>3</v>
      </c>
      <c r="J954" s="1">
        <f t="shared" si="283"/>
        <v>2.1436536536334905</v>
      </c>
      <c r="K954" s="1">
        <f t="shared" si="284"/>
        <v>1.5801539326136922</v>
      </c>
      <c r="U954" s="1">
        <f t="shared" si="280"/>
        <v>2.2229850876809376</v>
      </c>
    </row>
    <row r="955" spans="1:25" x14ac:dyDescent="0.25">
      <c r="A955" t="s">
        <v>4</v>
      </c>
      <c r="B955">
        <v>15.477</v>
      </c>
      <c r="C955">
        <v>4.8020699999999996</v>
      </c>
      <c r="D955">
        <f t="shared" si="281"/>
        <v>10.67493</v>
      </c>
      <c r="E955" s="1">
        <f t="shared" si="282"/>
        <v>2.2229850876809376</v>
      </c>
      <c r="I955" t="s">
        <v>4</v>
      </c>
      <c r="J955" s="1">
        <f t="shared" si="283"/>
        <v>2.2229850876809376</v>
      </c>
      <c r="K955" s="1">
        <f t="shared" si="284"/>
        <v>1.701709887610968</v>
      </c>
      <c r="U955" s="1">
        <f t="shared" si="280"/>
        <v>2.2201949418682347</v>
      </c>
    </row>
    <row r="956" spans="1:25" x14ac:dyDescent="0.25">
      <c r="A956" t="s">
        <v>5</v>
      </c>
      <c r="B956">
        <v>15.421900000000001</v>
      </c>
      <c r="C956">
        <v>4.7891199999999996</v>
      </c>
      <c r="D956">
        <f t="shared" si="281"/>
        <v>10.63278</v>
      </c>
      <c r="E956" s="1">
        <f t="shared" si="282"/>
        <v>2.2201949418682347</v>
      </c>
      <c r="I956" t="s">
        <v>5</v>
      </c>
      <c r="J956" s="1">
        <f t="shared" si="283"/>
        <v>2.2201949418682347</v>
      </c>
      <c r="K956" s="1">
        <f t="shared" si="284"/>
        <v>1.7474776159294403</v>
      </c>
      <c r="U956" s="1">
        <f t="shared" si="280"/>
        <v>1.9896533418804274</v>
      </c>
    </row>
    <row r="957" spans="1:25" x14ac:dyDescent="0.25">
      <c r="A957" t="s">
        <v>6</v>
      </c>
      <c r="B957">
        <v>14.924200000000001</v>
      </c>
      <c r="C957">
        <v>4.9919500000000001</v>
      </c>
      <c r="D957">
        <f t="shared" si="281"/>
        <v>9.9322499999999998</v>
      </c>
      <c r="E957" s="1">
        <f t="shared" si="282"/>
        <v>1.9896533418804274</v>
      </c>
      <c r="I957" t="s">
        <v>6</v>
      </c>
      <c r="J957" s="1">
        <f t="shared" si="283"/>
        <v>1.9896533418804274</v>
      </c>
      <c r="K957" s="1">
        <f t="shared" si="284"/>
        <v>1.5856829495487736</v>
      </c>
      <c r="U957" s="1">
        <f t="shared" si="280"/>
        <v>2.0789455204860983</v>
      </c>
    </row>
    <row r="958" spans="1:25" x14ac:dyDescent="0.25">
      <c r="A958" t="s">
        <v>7</v>
      </c>
      <c r="B958">
        <v>14.9077</v>
      </c>
      <c r="C958">
        <v>4.8418200000000002</v>
      </c>
      <c r="D958">
        <f t="shared" si="281"/>
        <v>10.06588</v>
      </c>
      <c r="E958" s="1">
        <f t="shared" si="282"/>
        <v>2.0789455204860983</v>
      </c>
      <c r="I958" t="s">
        <v>7</v>
      </c>
      <c r="J958" s="1">
        <f t="shared" si="283"/>
        <v>2.0789455204860983</v>
      </c>
      <c r="K958" s="1">
        <f t="shared" si="284"/>
        <v>1.6326464015597439</v>
      </c>
      <c r="U958" s="1">
        <f t="shared" si="280"/>
        <v>2.0277724995249571</v>
      </c>
    </row>
    <row r="959" spans="1:25" x14ac:dyDescent="0.25">
      <c r="A959" t="s">
        <v>8</v>
      </c>
      <c r="B959">
        <v>15.137499999999999</v>
      </c>
      <c r="C959">
        <v>4.9995500000000002</v>
      </c>
      <c r="D959">
        <f t="shared" si="281"/>
        <v>10.13795</v>
      </c>
      <c r="E959" s="1">
        <f t="shared" si="282"/>
        <v>2.0277724995249571</v>
      </c>
      <c r="I959" t="s">
        <v>8</v>
      </c>
      <c r="J959" s="1">
        <f t="shared" si="283"/>
        <v>2.0277724995249571</v>
      </c>
      <c r="K959" s="1">
        <f t="shared" si="284"/>
        <v>1.5750517546579192</v>
      </c>
      <c r="U959" s="1">
        <f t="shared" si="280"/>
        <v>1.9896968724411912</v>
      </c>
    </row>
    <row r="960" spans="1:25" x14ac:dyDescent="0.25">
      <c r="A960" t="s">
        <v>9</v>
      </c>
      <c r="B960">
        <v>14.5319</v>
      </c>
      <c r="C960">
        <v>4.8606600000000002</v>
      </c>
      <c r="D960">
        <f t="shared" si="281"/>
        <v>9.6712400000000009</v>
      </c>
      <c r="E960" s="1">
        <f t="shared" si="282"/>
        <v>1.9896968724411912</v>
      </c>
      <c r="I960" t="s">
        <v>9</v>
      </c>
      <c r="J960" s="1">
        <f t="shared" si="283"/>
        <v>1.9896968724411912</v>
      </c>
      <c r="K960" s="1">
        <f t="shared" si="284"/>
        <v>1.5802051573243137</v>
      </c>
      <c r="U960" s="1">
        <f t="shared" si="280"/>
        <v>1.8119237225764302</v>
      </c>
    </row>
    <row r="961" spans="1:21" x14ac:dyDescent="0.25">
      <c r="A961" t="s">
        <v>10</v>
      </c>
      <c r="B961">
        <v>13.6015</v>
      </c>
      <c r="C961">
        <v>4.8370800000000003</v>
      </c>
      <c r="D961">
        <f t="shared" si="281"/>
        <v>8.7644199999999994</v>
      </c>
      <c r="E961" s="1">
        <f t="shared" si="282"/>
        <v>1.8119237225764302</v>
      </c>
      <c r="I961" t="s">
        <v>10</v>
      </c>
      <c r="J961" s="1">
        <f t="shared" si="283"/>
        <v>1.8119237225764302</v>
      </c>
      <c r="K961" s="1">
        <f t="shared" si="284"/>
        <v>1.3575793660638236</v>
      </c>
      <c r="U961" s="1">
        <f t="shared" si="280"/>
        <v>3.0538471708090955</v>
      </c>
    </row>
    <row r="962" spans="1:21" x14ac:dyDescent="0.25">
      <c r="A962" t="s">
        <v>11</v>
      </c>
      <c r="B962">
        <v>61.326599999999999</v>
      </c>
      <c r="C962">
        <v>15.128</v>
      </c>
      <c r="D962">
        <f t="shared" si="281"/>
        <v>46.198599999999999</v>
      </c>
      <c r="E962" s="1">
        <f t="shared" si="282"/>
        <v>3.0538471708090955</v>
      </c>
      <c r="I962" t="s">
        <v>11</v>
      </c>
      <c r="J962" s="1">
        <f t="shared" si="283"/>
        <v>3.0538471708090955</v>
      </c>
      <c r="K962" s="1">
        <f t="shared" si="284"/>
        <v>2.8491472765732415</v>
      </c>
      <c r="U962" s="1">
        <f t="shared" ref="U962:U971" si="285">K953</f>
        <v>1.6264472386838389</v>
      </c>
    </row>
    <row r="963" spans="1:21" x14ac:dyDescent="0.25">
      <c r="U963" s="1">
        <f t="shared" si="285"/>
        <v>1.5801539326136922</v>
      </c>
    </row>
    <row r="964" spans="1:21" x14ac:dyDescent="0.25">
      <c r="U964" s="1">
        <f t="shared" si="285"/>
        <v>1.701709887610968</v>
      </c>
    </row>
    <row r="965" spans="1:21" x14ac:dyDescent="0.25">
      <c r="A965" t="s">
        <v>1</v>
      </c>
      <c r="B965" t="s">
        <v>14</v>
      </c>
      <c r="C965" t="s">
        <v>13</v>
      </c>
      <c r="I965" t="s">
        <v>19</v>
      </c>
      <c r="J965" s="2">
        <f>AVERAGE(J953:J962)</f>
        <v>2.1803765261372012</v>
      </c>
      <c r="K965" s="2">
        <f>AVERAGE(K953:K962)</f>
        <v>1.7236101580565755</v>
      </c>
      <c r="U965" s="1">
        <f t="shared" si="285"/>
        <v>1.7474776159294403</v>
      </c>
    </row>
    <row r="966" spans="1:21" x14ac:dyDescent="0.25">
      <c r="A966" t="s">
        <v>2</v>
      </c>
      <c r="B966">
        <v>12.9191</v>
      </c>
      <c r="C966">
        <v>4.9188499999999999</v>
      </c>
      <c r="D966">
        <f t="shared" ref="D966:D975" si="286">B966-C966</f>
        <v>8.0002500000000012</v>
      </c>
      <c r="E966" s="1">
        <f t="shared" ref="E966:E975" si="287">D966/C966</f>
        <v>1.6264472386838389</v>
      </c>
      <c r="N966" t="s">
        <v>20</v>
      </c>
      <c r="O966" s="2">
        <f>MIN(U952:U971)</f>
        <v>1.3575793660638236</v>
      </c>
      <c r="U966" s="1">
        <f t="shared" si="285"/>
        <v>1.5856829495487736</v>
      </c>
    </row>
    <row r="967" spans="1:21" x14ac:dyDescent="0.25">
      <c r="A967" t="s">
        <v>3</v>
      </c>
      <c r="B967">
        <v>12.809200000000001</v>
      </c>
      <c r="C967">
        <v>4.9645099999999998</v>
      </c>
      <c r="D967">
        <f t="shared" si="286"/>
        <v>7.8446900000000008</v>
      </c>
      <c r="E967" s="1">
        <f t="shared" si="287"/>
        <v>1.5801539326136922</v>
      </c>
      <c r="N967" t="s">
        <v>21</v>
      </c>
      <c r="O967" s="2">
        <f>MAX(U952:U971)</f>
        <v>3.0538471708090955</v>
      </c>
      <c r="U967" s="1">
        <f t="shared" si="285"/>
        <v>1.6326464015597439</v>
      </c>
    </row>
    <row r="968" spans="1:21" x14ac:dyDescent="0.25">
      <c r="A968" t="s">
        <v>4</v>
      </c>
      <c r="B968">
        <v>12.973800000000001</v>
      </c>
      <c r="C968">
        <v>4.8020699999999996</v>
      </c>
      <c r="D968">
        <f t="shared" si="286"/>
        <v>8.1717300000000002</v>
      </c>
      <c r="E968" s="1">
        <f t="shared" si="287"/>
        <v>1.701709887610968</v>
      </c>
      <c r="N968" t="s">
        <v>22</v>
      </c>
      <c r="O968" s="2">
        <f>AVERAGE(U952:U971)</f>
        <v>1.9519933420968882</v>
      </c>
      <c r="U968" s="1">
        <f t="shared" si="285"/>
        <v>1.5750517546579192</v>
      </c>
    </row>
    <row r="969" spans="1:21" x14ac:dyDescent="0.25">
      <c r="A969" t="s">
        <v>5</v>
      </c>
      <c r="B969">
        <v>13.157999999999999</v>
      </c>
      <c r="C969">
        <v>4.7891199999999996</v>
      </c>
      <c r="D969">
        <f t="shared" si="286"/>
        <v>8.3688800000000008</v>
      </c>
      <c r="E969" s="1">
        <f t="shared" si="287"/>
        <v>1.7474776159294403</v>
      </c>
      <c r="U969" s="1">
        <f t="shared" si="285"/>
        <v>1.5802051573243137</v>
      </c>
    </row>
    <row r="970" spans="1:21" x14ac:dyDescent="0.25">
      <c r="A970" t="s">
        <v>6</v>
      </c>
      <c r="B970">
        <v>12.9076</v>
      </c>
      <c r="C970">
        <v>4.9919500000000001</v>
      </c>
      <c r="D970">
        <f t="shared" si="286"/>
        <v>7.9156500000000003</v>
      </c>
      <c r="E970" s="1">
        <f t="shared" si="287"/>
        <v>1.5856829495487736</v>
      </c>
      <c r="U970" s="1">
        <f t="shared" si="285"/>
        <v>1.3575793660638236</v>
      </c>
    </row>
    <row r="971" spans="1:21" x14ac:dyDescent="0.25">
      <c r="A971" t="s">
        <v>7</v>
      </c>
      <c r="B971">
        <v>12.7468</v>
      </c>
      <c r="C971">
        <v>4.8418200000000002</v>
      </c>
      <c r="D971">
        <f t="shared" si="286"/>
        <v>7.9049800000000001</v>
      </c>
      <c r="E971" s="1">
        <f t="shared" si="287"/>
        <v>1.6326464015597439</v>
      </c>
      <c r="U971" s="1">
        <f t="shared" si="285"/>
        <v>2.8491472765732415</v>
      </c>
    </row>
    <row r="972" spans="1:21" x14ac:dyDescent="0.25">
      <c r="A972" t="s">
        <v>8</v>
      </c>
      <c r="B972">
        <v>12.8741</v>
      </c>
      <c r="C972">
        <v>4.9995500000000002</v>
      </c>
      <c r="D972">
        <f t="shared" si="286"/>
        <v>7.8745500000000002</v>
      </c>
      <c r="E972" s="1">
        <f t="shared" si="287"/>
        <v>1.5750517546579192</v>
      </c>
    </row>
    <row r="973" spans="1:21" x14ac:dyDescent="0.25">
      <c r="A973" t="s">
        <v>9</v>
      </c>
      <c r="B973">
        <v>12.541499999999999</v>
      </c>
      <c r="C973">
        <v>4.8606600000000002</v>
      </c>
      <c r="D973">
        <f t="shared" si="286"/>
        <v>7.680839999999999</v>
      </c>
      <c r="E973" s="1">
        <f t="shared" si="287"/>
        <v>1.5802051573243137</v>
      </c>
    </row>
    <row r="974" spans="1:21" x14ac:dyDescent="0.25">
      <c r="A974" t="s">
        <v>10</v>
      </c>
      <c r="B974">
        <v>11.4038</v>
      </c>
      <c r="C974">
        <v>4.8370800000000003</v>
      </c>
      <c r="D974">
        <f t="shared" si="286"/>
        <v>6.5667200000000001</v>
      </c>
      <c r="E974" s="1">
        <f t="shared" si="287"/>
        <v>1.3575793660638236</v>
      </c>
    </row>
    <row r="975" spans="1:21" x14ac:dyDescent="0.25">
      <c r="A975" t="s">
        <v>11</v>
      </c>
      <c r="B975">
        <v>58.229900000000001</v>
      </c>
      <c r="C975">
        <v>15.128</v>
      </c>
      <c r="D975">
        <f t="shared" si="286"/>
        <v>43.101900000000001</v>
      </c>
      <c r="E975" s="1">
        <f t="shared" si="287"/>
        <v>2.8491472765732415</v>
      </c>
    </row>
    <row r="977" spans="1:25" x14ac:dyDescent="0.25">
      <c r="A977" s="6" t="s">
        <v>64</v>
      </c>
      <c r="B977" s="6"/>
    </row>
    <row r="979" spans="1:25" x14ac:dyDescent="0.25">
      <c r="A979" t="s">
        <v>1</v>
      </c>
      <c r="B979" t="s">
        <v>12</v>
      </c>
      <c r="C979" t="s">
        <v>13</v>
      </c>
      <c r="E979" t="s">
        <v>15</v>
      </c>
      <c r="I979" t="s">
        <v>16</v>
      </c>
      <c r="J979" t="s">
        <v>17</v>
      </c>
      <c r="K979" t="s">
        <v>18</v>
      </c>
      <c r="U979" s="1">
        <f t="shared" ref="U979:U988" si="288">J980</f>
        <v>0.78964282742977354</v>
      </c>
      <c r="W979" s="2">
        <f>O993</f>
        <v>0.40064237575830319</v>
      </c>
      <c r="X979" s="2">
        <f>O994</f>
        <v>0.78964282742977354</v>
      </c>
      <c r="Y979" s="2">
        <f>O995</f>
        <v>0.63073686423994668</v>
      </c>
    </row>
    <row r="980" spans="1:25" x14ac:dyDescent="0.25">
      <c r="A980" t="s">
        <v>2</v>
      </c>
      <c r="B980">
        <v>5.7271998658726702</v>
      </c>
      <c r="C980">
        <v>3.20019155671296</v>
      </c>
      <c r="D980">
        <f t="shared" ref="D980:D989" si="289">B980-C980</f>
        <v>2.5270083091597102</v>
      </c>
      <c r="E980" s="1">
        <f t="shared" ref="E980:E989" si="290">D980/C980</f>
        <v>0.78964282742977354</v>
      </c>
      <c r="I980" t="s">
        <v>2</v>
      </c>
      <c r="J980" s="1">
        <f t="shared" ref="J980:J989" si="291">E980</f>
        <v>0.78964282742977354</v>
      </c>
      <c r="K980" s="1">
        <f t="shared" ref="K980:K989" si="292">E993</f>
        <v>0.60392404081886342</v>
      </c>
      <c r="U980" s="1">
        <f t="shared" si="288"/>
        <v>0.7858288653069686</v>
      </c>
    </row>
    <row r="981" spans="1:25" x14ac:dyDescent="0.25">
      <c r="A981" t="s">
        <v>3</v>
      </c>
      <c r="B981">
        <v>5.64298924033071</v>
      </c>
      <c r="C981">
        <v>3.1598712228009198</v>
      </c>
      <c r="D981">
        <f t="shared" si="289"/>
        <v>2.4831180175297902</v>
      </c>
      <c r="E981" s="1">
        <f t="shared" si="290"/>
        <v>0.7858288653069686</v>
      </c>
      <c r="I981" t="s">
        <v>3</v>
      </c>
      <c r="J981" s="1">
        <f t="shared" si="291"/>
        <v>0.7858288653069686</v>
      </c>
      <c r="K981" s="1">
        <f t="shared" si="292"/>
        <v>0.59802949714625309</v>
      </c>
      <c r="U981" s="1">
        <f t="shared" si="288"/>
        <v>0.75100548565946723</v>
      </c>
    </row>
    <row r="982" spans="1:25" x14ac:dyDescent="0.25">
      <c r="A982" t="s">
        <v>4</v>
      </c>
      <c r="B982">
        <v>5.6240656607700297</v>
      </c>
      <c r="C982">
        <v>3.2119063628472202</v>
      </c>
      <c r="D982">
        <f t="shared" si="289"/>
        <v>2.4121592979228095</v>
      </c>
      <c r="E982" s="1">
        <f t="shared" si="290"/>
        <v>0.75100548565946723</v>
      </c>
      <c r="I982" t="s">
        <v>4</v>
      </c>
      <c r="J982" s="1">
        <f t="shared" si="291"/>
        <v>0.75100548565946723</v>
      </c>
      <c r="K982" s="1">
        <f t="shared" si="292"/>
        <v>0.60989122996217593</v>
      </c>
      <c r="U982" s="1">
        <f t="shared" si="288"/>
        <v>0.72993555441692437</v>
      </c>
    </row>
    <row r="983" spans="1:25" x14ac:dyDescent="0.25">
      <c r="A983" t="s">
        <v>5</v>
      </c>
      <c r="B983">
        <v>5.6041913383823703</v>
      </c>
      <c r="C983">
        <v>3.23953763715277</v>
      </c>
      <c r="D983">
        <f t="shared" si="289"/>
        <v>2.3646537012296003</v>
      </c>
      <c r="E983" s="1">
        <f t="shared" si="290"/>
        <v>0.72993555441692437</v>
      </c>
      <c r="I983" t="s">
        <v>5</v>
      </c>
      <c r="J983" s="1">
        <f t="shared" si="291"/>
        <v>0.72993555441692437</v>
      </c>
      <c r="K983" s="1">
        <f t="shared" si="292"/>
        <v>0.6181196912955268</v>
      </c>
      <c r="U983" s="1">
        <f t="shared" si="288"/>
        <v>0.73258074410526175</v>
      </c>
    </row>
    <row r="984" spans="1:25" x14ac:dyDescent="0.25">
      <c r="A984" t="s">
        <v>6</v>
      </c>
      <c r="B984">
        <v>5.6246856385500301</v>
      </c>
      <c r="C984">
        <v>3.2464204959490801</v>
      </c>
      <c r="D984">
        <f t="shared" si="289"/>
        <v>2.37826514260095</v>
      </c>
      <c r="E984" s="1">
        <f t="shared" si="290"/>
        <v>0.73258074410526175</v>
      </c>
      <c r="I984" t="s">
        <v>6</v>
      </c>
      <c r="J984" s="1">
        <f t="shared" si="291"/>
        <v>0.73258074410526175</v>
      </c>
      <c r="K984" s="1">
        <f t="shared" si="292"/>
        <v>0.58832545773197575</v>
      </c>
      <c r="U984" s="1">
        <f t="shared" si="288"/>
        <v>0.7304319050497301</v>
      </c>
    </row>
    <row r="985" spans="1:25" x14ac:dyDescent="0.25">
      <c r="A985" t="s">
        <v>7</v>
      </c>
      <c r="B985">
        <v>5.62321215053763</v>
      </c>
      <c r="C985">
        <v>3.24960036516203</v>
      </c>
      <c r="D985">
        <f t="shared" si="289"/>
        <v>2.3736117853756</v>
      </c>
      <c r="E985" s="1">
        <f t="shared" si="290"/>
        <v>0.7304319050497301</v>
      </c>
      <c r="I985" t="s">
        <v>7</v>
      </c>
      <c r="J985" s="1">
        <f t="shared" si="291"/>
        <v>0.7304319050497301</v>
      </c>
      <c r="K985" s="1">
        <f t="shared" si="292"/>
        <v>0.57290282902313217</v>
      </c>
      <c r="U985" s="1">
        <f t="shared" si="288"/>
        <v>0.72988839465186228</v>
      </c>
    </row>
    <row r="986" spans="1:25" x14ac:dyDescent="0.25">
      <c r="A986" t="s">
        <v>8</v>
      </c>
      <c r="B986">
        <v>5.5577430340521401</v>
      </c>
      <c r="C986">
        <v>3.2127754895833198</v>
      </c>
      <c r="D986">
        <f t="shared" si="289"/>
        <v>2.3449675444688203</v>
      </c>
      <c r="E986" s="1">
        <f t="shared" si="290"/>
        <v>0.72988839465186228</v>
      </c>
      <c r="I986" t="s">
        <v>8</v>
      </c>
      <c r="J986" s="1">
        <f t="shared" si="291"/>
        <v>0.72988839465186228</v>
      </c>
      <c r="K986" s="1">
        <f t="shared" si="292"/>
        <v>0.61308947945479142</v>
      </c>
      <c r="U986" s="1">
        <f t="shared" si="288"/>
        <v>0.65946757424890157</v>
      </c>
    </row>
    <row r="987" spans="1:25" x14ac:dyDescent="0.25">
      <c r="A987" t="s">
        <v>9</v>
      </c>
      <c r="B987">
        <v>5.4261127056714997</v>
      </c>
      <c r="C987">
        <v>3.2697913414351798</v>
      </c>
      <c r="D987">
        <f t="shared" si="289"/>
        <v>2.1563213642363199</v>
      </c>
      <c r="E987" s="1">
        <f t="shared" si="290"/>
        <v>0.65946757424890157</v>
      </c>
      <c r="I987" t="s">
        <v>9</v>
      </c>
      <c r="J987" s="1">
        <f t="shared" si="291"/>
        <v>0.65946757424890157</v>
      </c>
      <c r="K987" s="1">
        <f t="shared" si="292"/>
        <v>0.56295350889406615</v>
      </c>
      <c r="U987" s="1">
        <f t="shared" si="288"/>
        <v>0.60541272285251835</v>
      </c>
    </row>
    <row r="988" spans="1:25" x14ac:dyDescent="0.25">
      <c r="A988" t="s">
        <v>10</v>
      </c>
      <c r="B988">
        <v>5.3582483911434897</v>
      </c>
      <c r="C988">
        <v>3.3376142563657298</v>
      </c>
      <c r="D988">
        <f t="shared" si="289"/>
        <v>2.0206341347777599</v>
      </c>
      <c r="E988" s="1">
        <f t="shared" si="290"/>
        <v>0.60541272285251835</v>
      </c>
      <c r="I988" t="s">
        <v>10</v>
      </c>
      <c r="J988" s="1">
        <f t="shared" si="291"/>
        <v>0.60541272285251835</v>
      </c>
      <c r="K988" s="1">
        <f t="shared" si="292"/>
        <v>0.48028430128548549</v>
      </c>
      <c r="U988" s="1">
        <f t="shared" si="288"/>
        <v>0.4523807997069505</v>
      </c>
    </row>
    <row r="989" spans="1:25" x14ac:dyDescent="0.25">
      <c r="A989" t="s">
        <v>11</v>
      </c>
      <c r="B989">
        <v>14.8280189229969</v>
      </c>
      <c r="C989">
        <v>10.209456725115601</v>
      </c>
      <c r="D989">
        <f t="shared" si="289"/>
        <v>4.6185621978812996</v>
      </c>
      <c r="E989" s="1">
        <f t="shared" si="290"/>
        <v>0.4523807997069505</v>
      </c>
      <c r="I989" t="s">
        <v>11</v>
      </c>
      <c r="J989" s="1">
        <f t="shared" si="291"/>
        <v>0.4523807997069505</v>
      </c>
      <c r="K989" s="1">
        <f t="shared" si="292"/>
        <v>0.40064237575830319</v>
      </c>
      <c r="U989" s="1">
        <f t="shared" ref="U989:U998" si="293">K980</f>
        <v>0.60392404081886342</v>
      </c>
    </row>
    <row r="990" spans="1:25" x14ac:dyDescent="0.25">
      <c r="U990" s="1">
        <f t="shared" si="293"/>
        <v>0.59802949714625309</v>
      </c>
    </row>
    <row r="991" spans="1:25" x14ac:dyDescent="0.25">
      <c r="U991" s="1">
        <f t="shared" si="293"/>
        <v>0.60989122996217593</v>
      </c>
    </row>
    <row r="992" spans="1:25" x14ac:dyDescent="0.25">
      <c r="A992" t="s">
        <v>1</v>
      </c>
      <c r="B992" t="s">
        <v>14</v>
      </c>
      <c r="C992" t="s">
        <v>13</v>
      </c>
      <c r="I992" t="s">
        <v>19</v>
      </c>
      <c r="J992" s="2">
        <f>AVERAGE(J980:J989)</f>
        <v>0.69665748734283572</v>
      </c>
      <c r="K992" s="2">
        <f>AVERAGE(K980:K989)</f>
        <v>0.56481624113705731</v>
      </c>
      <c r="U992" s="1">
        <f t="shared" si="293"/>
        <v>0.6181196912955268</v>
      </c>
    </row>
    <row r="993" spans="1:25" x14ac:dyDescent="0.25">
      <c r="A993" t="s">
        <v>2</v>
      </c>
      <c r="B993">
        <v>5.1328641730374596</v>
      </c>
      <c r="C993">
        <v>3.20019155671296</v>
      </c>
      <c r="D993">
        <f t="shared" ref="D993:D1002" si="294">B993-C993</f>
        <v>1.9326726163244996</v>
      </c>
      <c r="E993" s="1">
        <f t="shared" ref="E993:E1002" si="295">D993/C993</f>
        <v>0.60392404081886342</v>
      </c>
      <c r="N993" t="s">
        <v>20</v>
      </c>
      <c r="O993" s="2">
        <f>MIN(U979:U998)</f>
        <v>0.40064237575830319</v>
      </c>
      <c r="U993" s="1">
        <f t="shared" si="293"/>
        <v>0.58832545773197575</v>
      </c>
    </row>
    <row r="994" spans="1:25" x14ac:dyDescent="0.25">
      <c r="A994" t="s">
        <v>3</v>
      </c>
      <c r="B994">
        <v>5.0495674212194697</v>
      </c>
      <c r="C994">
        <v>3.1598712228009198</v>
      </c>
      <c r="D994">
        <f t="shared" si="294"/>
        <v>1.8896961984185499</v>
      </c>
      <c r="E994" s="1">
        <f t="shared" si="295"/>
        <v>0.59802949714625309</v>
      </c>
      <c r="N994" t="s">
        <v>21</v>
      </c>
      <c r="O994" s="2">
        <f>MAX(U979:U998)</f>
        <v>0.78964282742977354</v>
      </c>
      <c r="U994" s="1">
        <f t="shared" si="293"/>
        <v>0.57290282902313217</v>
      </c>
    </row>
    <row r="995" spans="1:25" x14ac:dyDescent="0.25">
      <c r="A995" t="s">
        <v>4</v>
      </c>
      <c r="B995">
        <v>5.1708198850074503</v>
      </c>
      <c r="C995">
        <v>3.2119063628472202</v>
      </c>
      <c r="D995">
        <f t="shared" si="294"/>
        <v>1.9589135221602301</v>
      </c>
      <c r="E995" s="1">
        <f t="shared" si="295"/>
        <v>0.60989122996217593</v>
      </c>
      <c r="N995" t="s">
        <v>22</v>
      </c>
      <c r="O995" s="2">
        <f>AVERAGE(U979:U998)</f>
        <v>0.63073686423994668</v>
      </c>
      <c r="U995" s="1">
        <f t="shared" si="293"/>
        <v>0.61308947945479142</v>
      </c>
    </row>
    <row r="996" spans="1:25" x14ac:dyDescent="0.25">
      <c r="A996" t="s">
        <v>5</v>
      </c>
      <c r="B996">
        <v>5.2419596413698804</v>
      </c>
      <c r="C996">
        <v>3.23953763715277</v>
      </c>
      <c r="D996">
        <f t="shared" si="294"/>
        <v>2.0024220042171104</v>
      </c>
      <c r="E996" s="1">
        <f t="shared" si="295"/>
        <v>0.6181196912955268</v>
      </c>
      <c r="U996" s="1">
        <f t="shared" si="293"/>
        <v>0.56295350889406615</v>
      </c>
    </row>
    <row r="997" spans="1:25" x14ac:dyDescent="0.25">
      <c r="A997" t="s">
        <v>6</v>
      </c>
      <c r="B997">
        <v>5.1563723202187903</v>
      </c>
      <c r="C997">
        <v>3.2464204959490801</v>
      </c>
      <c r="D997">
        <f t="shared" si="294"/>
        <v>1.9099518242697102</v>
      </c>
      <c r="E997" s="1">
        <f t="shared" si="295"/>
        <v>0.58832545773197575</v>
      </c>
      <c r="U997" s="1">
        <f t="shared" si="293"/>
        <v>0.48028430128548549</v>
      </c>
    </row>
    <row r="998" spans="1:25" x14ac:dyDescent="0.25">
      <c r="A998" t="s">
        <v>7</v>
      </c>
      <c r="B998">
        <v>5.1113056075579602</v>
      </c>
      <c r="C998">
        <v>3.24960036516203</v>
      </c>
      <c r="D998">
        <f t="shared" si="294"/>
        <v>1.8617052423959302</v>
      </c>
      <c r="E998" s="1">
        <f t="shared" si="295"/>
        <v>0.57290282902313217</v>
      </c>
      <c r="U998" s="1">
        <f t="shared" si="293"/>
        <v>0.40064237575830319</v>
      </c>
    </row>
    <row r="999" spans="1:25" x14ac:dyDescent="0.25">
      <c r="A999" t="s">
        <v>8</v>
      </c>
      <c r="B999">
        <v>5.1824943420970699</v>
      </c>
      <c r="C999">
        <v>3.2127754895833198</v>
      </c>
      <c r="D999">
        <f t="shared" si="294"/>
        <v>1.9697188525137501</v>
      </c>
      <c r="E999" s="1">
        <f t="shared" si="295"/>
        <v>0.61308947945479142</v>
      </c>
    </row>
    <row r="1000" spans="1:25" x14ac:dyDescent="0.25">
      <c r="A1000" t="s">
        <v>9</v>
      </c>
      <c r="B1000">
        <v>5.1105318504475497</v>
      </c>
      <c r="C1000">
        <v>3.2697913414351798</v>
      </c>
      <c r="D1000">
        <f t="shared" si="294"/>
        <v>1.8407405090123699</v>
      </c>
      <c r="E1000" s="1">
        <f t="shared" si="295"/>
        <v>0.56295350889406615</v>
      </c>
    </row>
    <row r="1001" spans="1:25" x14ac:dyDescent="0.25">
      <c r="A1001" t="s">
        <v>10</v>
      </c>
      <c r="B1001">
        <v>4.9406179874448197</v>
      </c>
      <c r="C1001">
        <v>3.3376142563657298</v>
      </c>
      <c r="D1001">
        <f t="shared" si="294"/>
        <v>1.6030037310790899</v>
      </c>
      <c r="E1001" s="1">
        <f t="shared" si="295"/>
        <v>0.48028430128548549</v>
      </c>
    </row>
    <row r="1002" spans="1:25" x14ac:dyDescent="0.25">
      <c r="A1002" t="s">
        <v>11</v>
      </c>
      <c r="B1002">
        <v>14.299797722667501</v>
      </c>
      <c r="C1002">
        <v>10.209456725115601</v>
      </c>
      <c r="D1002">
        <f t="shared" si="294"/>
        <v>4.0903409975519001</v>
      </c>
      <c r="E1002" s="1">
        <f t="shared" si="295"/>
        <v>0.40064237575830319</v>
      </c>
    </row>
    <row r="1004" spans="1:25" x14ac:dyDescent="0.25">
      <c r="A1004" s="6" t="s">
        <v>65</v>
      </c>
      <c r="B1004" s="6"/>
    </row>
    <row r="1006" spans="1:25" x14ac:dyDescent="0.25">
      <c r="A1006" t="s">
        <v>1</v>
      </c>
      <c r="B1006" t="s">
        <v>12</v>
      </c>
      <c r="C1006" t="s">
        <v>13</v>
      </c>
      <c r="E1006" t="s">
        <v>15</v>
      </c>
      <c r="I1006" t="s">
        <v>16</v>
      </c>
      <c r="J1006" t="s">
        <v>17</v>
      </c>
      <c r="K1006" t="s">
        <v>18</v>
      </c>
      <c r="U1006" s="1">
        <f t="shared" ref="U1006:U1015" si="296">J1007</f>
        <v>1.1707665171154424</v>
      </c>
      <c r="W1006" s="2">
        <f>O1020</f>
        <v>0.42218091062789559</v>
      </c>
      <c r="X1006" s="2">
        <f>O1021</f>
        <v>1.2064470896878225</v>
      </c>
      <c r="Y1006" s="2">
        <f>O1022</f>
        <v>0.82583620105767452</v>
      </c>
    </row>
    <row r="1007" spans="1:25" x14ac:dyDescent="0.25">
      <c r="A1007" t="s">
        <v>2</v>
      </c>
      <c r="B1007">
        <v>29.659400000000002</v>
      </c>
      <c r="C1007">
        <v>13.6631</v>
      </c>
      <c r="D1007">
        <f t="shared" ref="D1007:D1016" si="297">B1007-C1007</f>
        <v>15.996300000000002</v>
      </c>
      <c r="E1007" s="1">
        <f t="shared" ref="E1007:E1016" si="298">D1007/C1007</f>
        <v>1.1707665171154424</v>
      </c>
      <c r="I1007" t="s">
        <v>2</v>
      </c>
      <c r="J1007" s="1">
        <f t="shared" ref="J1007:J1016" si="299">E1007</f>
        <v>1.1707665171154424</v>
      </c>
      <c r="K1007" s="1">
        <f t="shared" ref="K1007:K1016" si="300">E1020</f>
        <v>0.42218091062789559</v>
      </c>
      <c r="U1007" s="1">
        <f t="shared" si="296"/>
        <v>1.2041156333206542</v>
      </c>
    </row>
    <row r="1008" spans="1:25" x14ac:dyDescent="0.25">
      <c r="A1008" t="s">
        <v>3</v>
      </c>
      <c r="B1008">
        <v>28.973099999999999</v>
      </c>
      <c r="C1008">
        <v>13.145</v>
      </c>
      <c r="D1008">
        <f t="shared" si="297"/>
        <v>15.828099999999999</v>
      </c>
      <c r="E1008" s="1">
        <f t="shared" si="298"/>
        <v>1.2041156333206542</v>
      </c>
      <c r="I1008" t="s">
        <v>3</v>
      </c>
      <c r="J1008" s="1">
        <f t="shared" si="299"/>
        <v>1.2041156333206542</v>
      </c>
      <c r="K1008" s="1">
        <f t="shared" si="300"/>
        <v>0.4222822365918602</v>
      </c>
      <c r="U1008" s="1">
        <f t="shared" si="296"/>
        <v>1.1352848761754415</v>
      </c>
    </row>
    <row r="1009" spans="1:21" x14ac:dyDescent="0.25">
      <c r="A1009" t="s">
        <v>4</v>
      </c>
      <c r="B1009">
        <v>28.1343</v>
      </c>
      <c r="C1009">
        <v>13.1759</v>
      </c>
      <c r="D1009">
        <f t="shared" si="297"/>
        <v>14.958399999999999</v>
      </c>
      <c r="E1009" s="1">
        <f t="shared" si="298"/>
        <v>1.1352848761754415</v>
      </c>
      <c r="I1009" t="s">
        <v>4</v>
      </c>
      <c r="J1009" s="1">
        <f t="shared" si="299"/>
        <v>1.1352848761754415</v>
      </c>
      <c r="K1009" s="1">
        <f t="shared" si="300"/>
        <v>0.61170773912977483</v>
      </c>
      <c r="U1009" s="1">
        <f t="shared" si="296"/>
        <v>1.0965885458024216</v>
      </c>
    </row>
    <row r="1010" spans="1:21" x14ac:dyDescent="0.25">
      <c r="A1010" t="s">
        <v>5</v>
      </c>
      <c r="B1010">
        <v>27.723400000000002</v>
      </c>
      <c r="C1010">
        <v>13.223100000000001</v>
      </c>
      <c r="D1010">
        <f t="shared" si="297"/>
        <v>14.500300000000001</v>
      </c>
      <c r="E1010" s="1">
        <f t="shared" si="298"/>
        <v>1.0965885458024216</v>
      </c>
      <c r="I1010" t="s">
        <v>5</v>
      </c>
      <c r="J1010" s="1">
        <f t="shared" si="299"/>
        <v>1.0965885458024216</v>
      </c>
      <c r="K1010" s="1">
        <f t="shared" si="300"/>
        <v>0.57512232381211659</v>
      </c>
      <c r="U1010" s="1">
        <f t="shared" si="296"/>
        <v>1.182113422592604</v>
      </c>
    </row>
    <row r="1011" spans="1:21" x14ac:dyDescent="0.25">
      <c r="A1011" t="s">
        <v>6</v>
      </c>
      <c r="B1011">
        <v>28.488800000000001</v>
      </c>
      <c r="C1011">
        <v>13.0556</v>
      </c>
      <c r="D1011">
        <f t="shared" si="297"/>
        <v>15.433200000000001</v>
      </c>
      <c r="E1011" s="1">
        <f t="shared" si="298"/>
        <v>1.182113422592604</v>
      </c>
      <c r="I1011" t="s">
        <v>6</v>
      </c>
      <c r="J1011" s="1">
        <f t="shared" si="299"/>
        <v>1.182113422592604</v>
      </c>
      <c r="K1011" s="1">
        <f t="shared" si="300"/>
        <v>0.57963632464229919</v>
      </c>
      <c r="U1011" s="1">
        <f t="shared" si="296"/>
        <v>1.2064470896878225</v>
      </c>
    </row>
    <row r="1012" spans="1:21" x14ac:dyDescent="0.25">
      <c r="A1012" t="s">
        <v>7</v>
      </c>
      <c r="B1012">
        <v>29.2683</v>
      </c>
      <c r="C1012">
        <v>13.264900000000001</v>
      </c>
      <c r="D1012">
        <f t="shared" si="297"/>
        <v>16.003399999999999</v>
      </c>
      <c r="E1012" s="1">
        <f t="shared" si="298"/>
        <v>1.2064470896878225</v>
      </c>
      <c r="I1012" t="s">
        <v>7</v>
      </c>
      <c r="J1012" s="1">
        <f t="shared" si="299"/>
        <v>1.2064470896878225</v>
      </c>
      <c r="K1012" s="1">
        <f t="shared" si="300"/>
        <v>0.51157566208565441</v>
      </c>
      <c r="U1012" s="1">
        <f t="shared" si="296"/>
        <v>1.1030379588908641</v>
      </c>
    </row>
    <row r="1013" spans="1:21" x14ac:dyDescent="0.25">
      <c r="A1013" t="s">
        <v>8</v>
      </c>
      <c r="B1013">
        <v>26.970199999999998</v>
      </c>
      <c r="C1013">
        <v>12.824400000000001</v>
      </c>
      <c r="D1013">
        <f t="shared" si="297"/>
        <v>14.145799999999998</v>
      </c>
      <c r="E1013" s="1">
        <f t="shared" si="298"/>
        <v>1.1030379588908641</v>
      </c>
      <c r="I1013" t="s">
        <v>8</v>
      </c>
      <c r="J1013" s="1">
        <f t="shared" si="299"/>
        <v>1.1030379588908641</v>
      </c>
      <c r="K1013" s="1">
        <f t="shared" si="300"/>
        <v>0.64079411122547647</v>
      </c>
      <c r="U1013" s="1">
        <f t="shared" si="296"/>
        <v>1.1031006113550792</v>
      </c>
    </row>
    <row r="1014" spans="1:21" x14ac:dyDescent="0.25">
      <c r="A1014" t="s">
        <v>9</v>
      </c>
      <c r="B1014">
        <v>26.866900000000001</v>
      </c>
      <c r="C1014">
        <v>12.774900000000001</v>
      </c>
      <c r="D1014">
        <f t="shared" si="297"/>
        <v>14.092000000000001</v>
      </c>
      <c r="E1014" s="1">
        <f t="shared" si="298"/>
        <v>1.1031006113550792</v>
      </c>
      <c r="I1014" t="s">
        <v>9</v>
      </c>
      <c r="J1014" s="1">
        <f t="shared" si="299"/>
        <v>1.1031006113550792</v>
      </c>
      <c r="K1014" s="1">
        <f t="shared" si="300"/>
        <v>0.55191038677406479</v>
      </c>
      <c r="U1014" s="1">
        <f t="shared" si="296"/>
        <v>1.0893303659657836</v>
      </c>
    </row>
    <row r="1015" spans="1:21" x14ac:dyDescent="0.25">
      <c r="A1015" t="s">
        <v>10</v>
      </c>
      <c r="B1015">
        <v>24.315000000000001</v>
      </c>
      <c r="C1015">
        <v>11.637700000000001</v>
      </c>
      <c r="D1015">
        <f t="shared" si="297"/>
        <v>12.677300000000001</v>
      </c>
      <c r="E1015" s="1">
        <f t="shared" si="298"/>
        <v>1.0893303659657836</v>
      </c>
      <c r="I1015" t="s">
        <v>10</v>
      </c>
      <c r="J1015" s="1">
        <f t="shared" si="299"/>
        <v>1.0893303659657836</v>
      </c>
      <c r="K1015" s="1">
        <f t="shared" si="300"/>
        <v>0.61886798937934462</v>
      </c>
      <c r="U1015" s="1">
        <f t="shared" si="296"/>
        <v>0.70268750635538724</v>
      </c>
    </row>
    <row r="1016" spans="1:21" x14ac:dyDescent="0.25">
      <c r="A1016" t="s">
        <v>11</v>
      </c>
      <c r="B1016">
        <v>85.397099999999995</v>
      </c>
      <c r="C1016">
        <v>50.154299999999999</v>
      </c>
      <c r="D1016">
        <f t="shared" si="297"/>
        <v>35.242799999999995</v>
      </c>
      <c r="E1016" s="1">
        <f t="shared" si="298"/>
        <v>0.70268750635538724</v>
      </c>
      <c r="I1016" t="s">
        <v>11</v>
      </c>
      <c r="J1016" s="1">
        <f t="shared" si="299"/>
        <v>0.70268750635538724</v>
      </c>
      <c r="K1016" s="1">
        <f t="shared" si="300"/>
        <v>0.58917380962350197</v>
      </c>
      <c r="U1016" s="1">
        <f t="shared" ref="U1016:U1025" si="301">K1007</f>
        <v>0.42218091062789559</v>
      </c>
    </row>
    <row r="1017" spans="1:21" x14ac:dyDescent="0.25">
      <c r="U1017" s="1">
        <f t="shared" si="301"/>
        <v>0.4222822365918602</v>
      </c>
    </row>
    <row r="1018" spans="1:21" x14ac:dyDescent="0.25">
      <c r="U1018" s="1">
        <f t="shared" si="301"/>
        <v>0.61170773912977483</v>
      </c>
    </row>
    <row r="1019" spans="1:21" x14ac:dyDescent="0.25">
      <c r="A1019" t="s">
        <v>1</v>
      </c>
      <c r="B1019" t="s">
        <v>14</v>
      </c>
      <c r="C1019" t="s">
        <v>13</v>
      </c>
      <c r="I1019" t="s">
        <v>19</v>
      </c>
      <c r="J1019" s="2">
        <f>AVERAGE(J1007:J1016)</f>
        <v>1.0993472527261501</v>
      </c>
      <c r="K1019" s="2">
        <f>AVERAGE(K1007:K1016)</f>
        <v>0.55232514938919886</v>
      </c>
      <c r="U1019" s="1">
        <f t="shared" si="301"/>
        <v>0.57512232381211659</v>
      </c>
    </row>
    <row r="1020" spans="1:21" x14ac:dyDescent="0.25">
      <c r="A1020" t="s">
        <v>2</v>
      </c>
      <c r="B1020">
        <v>19.4314</v>
      </c>
      <c r="C1020">
        <v>13.6631</v>
      </c>
      <c r="D1020">
        <f t="shared" ref="D1020:D1029" si="302">B1020-C1020</f>
        <v>5.7683</v>
      </c>
      <c r="E1020" s="1">
        <f t="shared" ref="E1020:E1029" si="303">D1020/C1020</f>
        <v>0.42218091062789559</v>
      </c>
      <c r="N1020" t="s">
        <v>20</v>
      </c>
      <c r="O1020" s="2">
        <f>MIN(U1006:U1025)</f>
        <v>0.42218091062789559</v>
      </c>
      <c r="U1020" s="1">
        <f t="shared" si="301"/>
        <v>0.57963632464229919</v>
      </c>
    </row>
    <row r="1021" spans="1:21" x14ac:dyDescent="0.25">
      <c r="A1021" t="s">
        <v>3</v>
      </c>
      <c r="B1021">
        <v>18.695900000000002</v>
      </c>
      <c r="C1021">
        <v>13.145</v>
      </c>
      <c r="D1021">
        <f t="shared" si="302"/>
        <v>5.5509000000000022</v>
      </c>
      <c r="E1021" s="1">
        <f t="shared" si="303"/>
        <v>0.4222822365918602</v>
      </c>
      <c r="N1021" t="s">
        <v>21</v>
      </c>
      <c r="O1021" s="2">
        <f>MAX(U1006:U1025)</f>
        <v>1.2064470896878225</v>
      </c>
      <c r="U1021" s="1">
        <f t="shared" si="301"/>
        <v>0.51157566208565441</v>
      </c>
    </row>
    <row r="1022" spans="1:21" x14ac:dyDescent="0.25">
      <c r="A1022" t="s">
        <v>4</v>
      </c>
      <c r="B1022">
        <v>21.235700000000001</v>
      </c>
      <c r="C1022">
        <v>13.1759</v>
      </c>
      <c r="D1022">
        <f t="shared" si="302"/>
        <v>8.059800000000001</v>
      </c>
      <c r="E1022" s="1">
        <f t="shared" si="303"/>
        <v>0.61170773912977483</v>
      </c>
      <c r="N1022" t="s">
        <v>22</v>
      </c>
      <c r="O1022" s="2">
        <f>AVERAGE(U1006:U1025)</f>
        <v>0.82583620105767452</v>
      </c>
      <c r="U1022" s="1">
        <f t="shared" si="301"/>
        <v>0.64079411122547647</v>
      </c>
    </row>
    <row r="1023" spans="1:21" x14ac:dyDescent="0.25">
      <c r="A1023" t="s">
        <v>5</v>
      </c>
      <c r="B1023">
        <v>20.827999999999999</v>
      </c>
      <c r="C1023">
        <v>13.223100000000001</v>
      </c>
      <c r="D1023">
        <f t="shared" si="302"/>
        <v>7.6048999999999989</v>
      </c>
      <c r="E1023" s="1">
        <f t="shared" si="303"/>
        <v>0.57512232381211659</v>
      </c>
      <c r="U1023" s="1">
        <f t="shared" si="301"/>
        <v>0.55191038677406479</v>
      </c>
    </row>
    <row r="1024" spans="1:21" x14ac:dyDescent="0.25">
      <c r="A1024" t="s">
        <v>6</v>
      </c>
      <c r="B1024">
        <v>20.623100000000001</v>
      </c>
      <c r="C1024">
        <v>13.0556</v>
      </c>
      <c r="D1024">
        <f t="shared" si="302"/>
        <v>7.5675000000000008</v>
      </c>
      <c r="E1024" s="1">
        <f t="shared" si="303"/>
        <v>0.57963632464229919</v>
      </c>
      <c r="U1024" s="1">
        <f t="shared" si="301"/>
        <v>0.61886798937934462</v>
      </c>
    </row>
    <row r="1025" spans="1:25" x14ac:dyDescent="0.25">
      <c r="A1025" t="s">
        <v>7</v>
      </c>
      <c r="B1025">
        <v>20.050899999999999</v>
      </c>
      <c r="C1025">
        <v>13.264900000000001</v>
      </c>
      <c r="D1025">
        <f t="shared" si="302"/>
        <v>6.7859999999999978</v>
      </c>
      <c r="E1025" s="1">
        <f t="shared" si="303"/>
        <v>0.51157566208565441</v>
      </c>
      <c r="U1025" s="1">
        <f t="shared" si="301"/>
        <v>0.58917380962350197</v>
      </c>
    </row>
    <row r="1026" spans="1:25" x14ac:dyDescent="0.25">
      <c r="A1026" t="s">
        <v>8</v>
      </c>
      <c r="B1026">
        <v>21.042200000000001</v>
      </c>
      <c r="C1026">
        <v>12.824400000000001</v>
      </c>
      <c r="D1026">
        <f t="shared" si="302"/>
        <v>8.2178000000000004</v>
      </c>
      <c r="E1026" s="1">
        <f t="shared" si="303"/>
        <v>0.64079411122547647</v>
      </c>
    </row>
    <row r="1027" spans="1:25" x14ac:dyDescent="0.25">
      <c r="A1027" t="s">
        <v>9</v>
      </c>
      <c r="B1027">
        <v>19.825500000000002</v>
      </c>
      <c r="C1027">
        <v>12.774900000000001</v>
      </c>
      <c r="D1027">
        <f t="shared" si="302"/>
        <v>7.0506000000000011</v>
      </c>
      <c r="E1027" s="1">
        <f t="shared" si="303"/>
        <v>0.55191038677406479</v>
      </c>
    </row>
    <row r="1028" spans="1:25" x14ac:dyDescent="0.25">
      <c r="A1028" t="s">
        <v>10</v>
      </c>
      <c r="B1028">
        <v>18.8399</v>
      </c>
      <c r="C1028">
        <v>11.637700000000001</v>
      </c>
      <c r="D1028">
        <f t="shared" si="302"/>
        <v>7.2021999999999995</v>
      </c>
      <c r="E1028" s="1">
        <f t="shared" si="303"/>
        <v>0.61886798937934462</v>
      </c>
    </row>
    <row r="1029" spans="1:25" x14ac:dyDescent="0.25">
      <c r="A1029" t="s">
        <v>11</v>
      </c>
      <c r="B1029">
        <v>79.703900000000004</v>
      </c>
      <c r="C1029">
        <v>50.154299999999999</v>
      </c>
      <c r="D1029">
        <f t="shared" si="302"/>
        <v>29.549600000000005</v>
      </c>
      <c r="E1029" s="1">
        <f t="shared" si="303"/>
        <v>0.58917380962350197</v>
      </c>
    </row>
    <row r="1031" spans="1:25" x14ac:dyDescent="0.25">
      <c r="A1031" s="6" t="s">
        <v>47</v>
      </c>
      <c r="B1031" s="6"/>
    </row>
    <row r="1033" spans="1:25" x14ac:dyDescent="0.25">
      <c r="A1033" t="s">
        <v>1</v>
      </c>
      <c r="B1033" t="s">
        <v>12</v>
      </c>
      <c r="C1033" t="s">
        <v>13</v>
      </c>
      <c r="E1033" t="s">
        <v>15</v>
      </c>
      <c r="I1033" t="s">
        <v>16</v>
      </c>
      <c r="J1033" t="s">
        <v>17</v>
      </c>
      <c r="K1033" t="s">
        <v>18</v>
      </c>
      <c r="U1033" s="1">
        <f t="shared" ref="U1033:U1042" si="304">J1034</f>
        <v>0.51170274028601481</v>
      </c>
      <c r="W1033" s="2">
        <f>O1047</f>
        <v>0.15833789587918073</v>
      </c>
      <c r="X1033" s="2">
        <f>O1048</f>
        <v>0.51170274028601481</v>
      </c>
      <c r="Y1033" s="2">
        <f>O1049</f>
        <v>0.37300350856315523</v>
      </c>
    </row>
    <row r="1034" spans="1:25" x14ac:dyDescent="0.25">
      <c r="A1034" t="s">
        <v>2</v>
      </c>
      <c r="B1034">
        <v>8.5742576771473598</v>
      </c>
      <c r="C1034">
        <v>5.6719204435159698</v>
      </c>
      <c r="D1034">
        <f t="shared" ref="D1034:D1043" si="305">B1034-C1034</f>
        <v>2.90233723363139</v>
      </c>
      <c r="E1034" s="1">
        <f t="shared" ref="E1034:E1043" si="306">D1034/C1034</f>
        <v>0.51170274028601481</v>
      </c>
      <c r="I1034" t="s">
        <v>2</v>
      </c>
      <c r="J1034" s="1">
        <f t="shared" ref="J1034:J1043" si="307">E1034</f>
        <v>0.51170274028601481</v>
      </c>
      <c r="K1034" s="1">
        <f t="shared" ref="K1034:K1043" si="308">E1047</f>
        <v>0.31922323482446463</v>
      </c>
      <c r="U1034" s="1">
        <f t="shared" si="304"/>
        <v>0.47514584329271137</v>
      </c>
    </row>
    <row r="1035" spans="1:25" x14ac:dyDescent="0.25">
      <c r="A1035" t="s">
        <v>3</v>
      </c>
      <c r="B1035">
        <v>8.4649646162442398</v>
      </c>
      <c r="C1035">
        <v>5.7383916680057698</v>
      </c>
      <c r="D1035">
        <f t="shared" si="305"/>
        <v>2.72657294823847</v>
      </c>
      <c r="E1035" s="1">
        <f t="shared" si="306"/>
        <v>0.47514584329271137</v>
      </c>
      <c r="I1035" t="s">
        <v>3</v>
      </c>
      <c r="J1035" s="1">
        <f t="shared" si="307"/>
        <v>0.47514584329271137</v>
      </c>
      <c r="K1035" s="1">
        <f t="shared" si="308"/>
        <v>0.28944453845917589</v>
      </c>
      <c r="U1035" s="1">
        <f t="shared" si="304"/>
        <v>0.47158962258843851</v>
      </c>
    </row>
    <row r="1036" spans="1:25" x14ac:dyDescent="0.25">
      <c r="A1036" t="s">
        <v>4</v>
      </c>
      <c r="B1036">
        <v>8.4565646131964893</v>
      </c>
      <c r="C1036">
        <v>5.7465508613209</v>
      </c>
      <c r="D1036">
        <f t="shared" si="305"/>
        <v>2.7100137518755893</v>
      </c>
      <c r="E1036" s="1">
        <f t="shared" si="306"/>
        <v>0.47158962258843851</v>
      </c>
      <c r="I1036" t="s">
        <v>4</v>
      </c>
      <c r="J1036" s="1">
        <f t="shared" si="307"/>
        <v>0.47158962258843851</v>
      </c>
      <c r="K1036" s="1">
        <f t="shared" si="308"/>
        <v>0.34221940720521571</v>
      </c>
      <c r="U1036" s="1">
        <f t="shared" si="304"/>
        <v>0.4751360625500049</v>
      </c>
    </row>
    <row r="1037" spans="1:25" x14ac:dyDescent="0.25">
      <c r="A1037" t="s">
        <v>5</v>
      </c>
      <c r="B1037">
        <v>8.5078136450449495</v>
      </c>
      <c r="C1037">
        <v>5.7674772253468296</v>
      </c>
      <c r="D1037">
        <f t="shared" si="305"/>
        <v>2.7403364196981199</v>
      </c>
      <c r="E1037" s="1">
        <f t="shared" si="306"/>
        <v>0.4751360625500049</v>
      </c>
      <c r="I1037" t="s">
        <v>5</v>
      </c>
      <c r="J1037" s="1">
        <f t="shared" si="307"/>
        <v>0.4751360625500049</v>
      </c>
      <c r="K1037" s="1">
        <f t="shared" si="308"/>
        <v>0.34107423322754177</v>
      </c>
      <c r="U1037" s="1">
        <f t="shared" si="304"/>
        <v>0.4686805100426697</v>
      </c>
    </row>
    <row r="1038" spans="1:25" x14ac:dyDescent="0.25">
      <c r="A1038" t="s">
        <v>6</v>
      </c>
      <c r="B1038">
        <v>8.4863029613450305</v>
      </c>
      <c r="C1038">
        <v>5.7781817783491096</v>
      </c>
      <c r="D1038">
        <f t="shared" si="305"/>
        <v>2.7081211829959209</v>
      </c>
      <c r="E1038" s="1">
        <f t="shared" si="306"/>
        <v>0.4686805100426697</v>
      </c>
      <c r="I1038" t="s">
        <v>6</v>
      </c>
      <c r="J1038" s="1">
        <f t="shared" si="307"/>
        <v>0.4686805100426697</v>
      </c>
      <c r="K1038" s="1">
        <f t="shared" si="308"/>
        <v>0.33540110883627672</v>
      </c>
      <c r="U1038" s="1">
        <f t="shared" si="304"/>
        <v>0.50287676056841424</v>
      </c>
    </row>
    <row r="1039" spans="1:25" x14ac:dyDescent="0.25">
      <c r="A1039" t="s">
        <v>7</v>
      </c>
      <c r="B1039">
        <v>8.5089784908056902</v>
      </c>
      <c r="C1039">
        <v>5.6617939102255104</v>
      </c>
      <c r="D1039">
        <f t="shared" si="305"/>
        <v>2.8471845805801799</v>
      </c>
      <c r="E1039" s="1">
        <f t="shared" si="306"/>
        <v>0.50287676056841424</v>
      </c>
      <c r="I1039" t="s">
        <v>7</v>
      </c>
      <c r="J1039" s="1">
        <f t="shared" si="307"/>
        <v>0.50287676056841424</v>
      </c>
      <c r="K1039" s="1">
        <f t="shared" si="308"/>
        <v>0.35978903897429459</v>
      </c>
      <c r="U1039" s="1">
        <f t="shared" si="304"/>
        <v>0.44170346987541886</v>
      </c>
    </row>
    <row r="1040" spans="1:25" x14ac:dyDescent="0.25">
      <c r="A1040" t="s">
        <v>8</v>
      </c>
      <c r="B1040">
        <v>8.3175849232957404</v>
      </c>
      <c r="C1040">
        <v>5.7692757887407202</v>
      </c>
      <c r="D1040">
        <f t="shared" si="305"/>
        <v>2.5483091345550202</v>
      </c>
      <c r="E1040" s="1">
        <f t="shared" si="306"/>
        <v>0.44170346987541886</v>
      </c>
      <c r="I1040" t="s">
        <v>8</v>
      </c>
      <c r="J1040" s="1">
        <f t="shared" si="307"/>
        <v>0.44170346987541886</v>
      </c>
      <c r="K1040" s="1">
        <f t="shared" si="308"/>
        <v>0.34778765449802523</v>
      </c>
      <c r="U1040" s="1">
        <f t="shared" si="304"/>
        <v>0.43544868635570705</v>
      </c>
    </row>
    <row r="1041" spans="1:21" x14ac:dyDescent="0.25">
      <c r="A1041" t="s">
        <v>9</v>
      </c>
      <c r="B1041">
        <v>8.13603308137764</v>
      </c>
      <c r="C1041">
        <v>5.6679372510579</v>
      </c>
      <c r="D1041">
        <f t="shared" si="305"/>
        <v>2.46809583031974</v>
      </c>
      <c r="E1041" s="1">
        <f t="shared" si="306"/>
        <v>0.43544868635570705</v>
      </c>
      <c r="I1041" t="s">
        <v>9</v>
      </c>
      <c r="J1041" s="1">
        <f t="shared" si="307"/>
        <v>0.43544868635570705</v>
      </c>
      <c r="K1041" s="1">
        <f t="shared" si="308"/>
        <v>0.32287242522198595</v>
      </c>
      <c r="U1041" s="1">
        <f t="shared" si="304"/>
        <v>0.41129088349800774</v>
      </c>
    </row>
    <row r="1042" spans="1:21" x14ac:dyDescent="0.25">
      <c r="A1042" t="s">
        <v>10</v>
      </c>
      <c r="B1042">
        <v>7.7155518459818699</v>
      </c>
      <c r="C1042">
        <v>5.4670174208581299</v>
      </c>
      <c r="D1042">
        <f t="shared" si="305"/>
        <v>2.24853442512374</v>
      </c>
      <c r="E1042" s="1">
        <f t="shared" si="306"/>
        <v>0.41129088349800774</v>
      </c>
      <c r="I1042" t="s">
        <v>10</v>
      </c>
      <c r="J1042" s="1">
        <f t="shared" si="307"/>
        <v>0.41129088349800774</v>
      </c>
      <c r="K1042" s="1">
        <f t="shared" si="308"/>
        <v>0.29093403776661114</v>
      </c>
      <c r="U1042" s="1">
        <f t="shared" si="304"/>
        <v>0.15833789587918073</v>
      </c>
    </row>
    <row r="1043" spans="1:21" x14ac:dyDescent="0.25">
      <c r="A1043" t="s">
        <v>11</v>
      </c>
      <c r="B1043">
        <v>18.484160960024301</v>
      </c>
      <c r="C1043">
        <v>15.957486175478</v>
      </c>
      <c r="D1043">
        <f t="shared" si="305"/>
        <v>2.5266747845463016</v>
      </c>
      <c r="E1043" s="1">
        <f t="shared" si="306"/>
        <v>0.15833789587918073</v>
      </c>
      <c r="I1043" t="s">
        <v>11</v>
      </c>
      <c r="J1043" s="1">
        <f t="shared" si="307"/>
        <v>0.15833789587918073</v>
      </c>
      <c r="K1043" s="1">
        <f t="shared" si="308"/>
        <v>0.15941201731294638</v>
      </c>
      <c r="U1043" s="1">
        <f t="shared" ref="U1043:U1052" si="309">K1034</f>
        <v>0.31922323482446463</v>
      </c>
    </row>
    <row r="1044" spans="1:21" x14ac:dyDescent="0.25">
      <c r="U1044" s="1">
        <f t="shared" si="309"/>
        <v>0.28944453845917589</v>
      </c>
    </row>
    <row r="1045" spans="1:21" x14ac:dyDescent="0.25">
      <c r="U1045" s="1">
        <f t="shared" si="309"/>
        <v>0.34221940720521571</v>
      </c>
    </row>
    <row r="1046" spans="1:21" x14ac:dyDescent="0.25">
      <c r="A1046" t="s">
        <v>1</v>
      </c>
      <c r="B1046" t="s">
        <v>14</v>
      </c>
      <c r="C1046" t="s">
        <v>13</v>
      </c>
      <c r="I1046" t="s">
        <v>19</v>
      </c>
      <c r="J1046" s="2">
        <f>AVERAGE(J1034:J1043)</f>
        <v>0.43519124749365679</v>
      </c>
      <c r="K1046" s="2">
        <f>AVERAGE(K1034:K1043)</f>
        <v>0.31081576963265378</v>
      </c>
      <c r="U1046" s="1">
        <f t="shared" si="309"/>
        <v>0.34107423322754177</v>
      </c>
    </row>
    <row r="1047" spans="1:21" x14ac:dyDescent="0.25">
      <c r="A1047" t="s">
        <v>2</v>
      </c>
      <c r="B1047">
        <v>7.4825292351621497</v>
      </c>
      <c r="C1047">
        <v>5.6719204435159698</v>
      </c>
      <c r="D1047">
        <f t="shared" ref="D1047:D1056" si="310">B1047-C1047</f>
        <v>1.8106087916461799</v>
      </c>
      <c r="E1047" s="1">
        <f t="shared" ref="E1047:E1056" si="311">D1047/C1047</f>
        <v>0.31922323482446463</v>
      </c>
      <c r="N1047" t="s">
        <v>20</v>
      </c>
      <c r="O1047" s="2">
        <f>MIN(U1033:U1052)</f>
        <v>0.15833789587918073</v>
      </c>
      <c r="U1047" s="1">
        <f t="shared" si="309"/>
        <v>0.33540110883627672</v>
      </c>
    </row>
    <row r="1048" spans="1:21" x14ac:dyDescent="0.25">
      <c r="A1048" t="s">
        <v>3</v>
      </c>
      <c r="B1048">
        <v>7.3993377958496804</v>
      </c>
      <c r="C1048">
        <v>5.7383916680057698</v>
      </c>
      <c r="D1048">
        <f t="shared" si="310"/>
        <v>1.6609461278439106</v>
      </c>
      <c r="E1048" s="1">
        <f t="shared" si="311"/>
        <v>0.28944453845917589</v>
      </c>
      <c r="N1048" t="s">
        <v>21</v>
      </c>
      <c r="O1048" s="2">
        <f>MAX(U1033:U1052)</f>
        <v>0.51170274028601481</v>
      </c>
      <c r="U1048" s="1">
        <f t="shared" si="309"/>
        <v>0.35978903897429459</v>
      </c>
    </row>
    <row r="1049" spans="1:21" x14ac:dyDescent="0.25">
      <c r="A1049" t="s">
        <v>4</v>
      </c>
      <c r="B1049">
        <v>7.7131320905567602</v>
      </c>
      <c r="C1049">
        <v>5.7465508613209</v>
      </c>
      <c r="D1049">
        <f t="shared" si="310"/>
        <v>1.9665812292358602</v>
      </c>
      <c r="E1049" s="1">
        <f t="shared" si="311"/>
        <v>0.34221940720521571</v>
      </c>
      <c r="N1049" t="s">
        <v>22</v>
      </c>
      <c r="O1049" s="2">
        <f>AVERAGE(U1033:U1052)</f>
        <v>0.37300350856315523</v>
      </c>
      <c r="U1049" s="1">
        <f t="shared" si="309"/>
        <v>0.34778765449802523</v>
      </c>
    </row>
    <row r="1050" spans="1:21" x14ac:dyDescent="0.25">
      <c r="A1050" t="s">
        <v>5</v>
      </c>
      <c r="B1050">
        <v>7.7346150976393098</v>
      </c>
      <c r="C1050">
        <v>5.7674772253468296</v>
      </c>
      <c r="D1050">
        <f t="shared" si="310"/>
        <v>1.9671378722924802</v>
      </c>
      <c r="E1050" s="1">
        <f t="shared" si="311"/>
        <v>0.34107423322754177</v>
      </c>
      <c r="U1050" s="1">
        <f t="shared" si="309"/>
        <v>0.32287242522198595</v>
      </c>
    </row>
    <row r="1051" spans="1:21" x14ac:dyDescent="0.25">
      <c r="A1051" t="s">
        <v>6</v>
      </c>
      <c r="B1051">
        <v>7.7161903538649703</v>
      </c>
      <c r="C1051">
        <v>5.7781817783491096</v>
      </c>
      <c r="D1051">
        <f t="shared" si="310"/>
        <v>1.9380085755158607</v>
      </c>
      <c r="E1051" s="1">
        <f t="shared" si="311"/>
        <v>0.33540110883627672</v>
      </c>
      <c r="U1051" s="1">
        <f t="shared" si="309"/>
        <v>0.29093403776661114</v>
      </c>
    </row>
    <row r="1052" spans="1:21" x14ac:dyDescent="0.25">
      <c r="A1052" t="s">
        <v>7</v>
      </c>
      <c r="B1052">
        <v>7.6988453000560604</v>
      </c>
      <c r="C1052">
        <v>5.6617939102255104</v>
      </c>
      <c r="D1052">
        <f t="shared" si="310"/>
        <v>2.03705138983055</v>
      </c>
      <c r="E1052" s="1">
        <f t="shared" si="311"/>
        <v>0.35978903897429459</v>
      </c>
      <c r="U1052" s="1">
        <f t="shared" si="309"/>
        <v>0.15941201731294638</v>
      </c>
    </row>
    <row r="1053" spans="1:21" x14ac:dyDescent="0.25">
      <c r="A1053" t="s">
        <v>8</v>
      </c>
      <c r="B1053">
        <v>7.7757586834590997</v>
      </c>
      <c r="C1053">
        <v>5.7692757887407202</v>
      </c>
      <c r="D1053">
        <f t="shared" si="310"/>
        <v>2.0064828947183795</v>
      </c>
      <c r="E1053" s="1">
        <f t="shared" si="311"/>
        <v>0.34778765449802523</v>
      </c>
    </row>
    <row r="1054" spans="1:21" x14ac:dyDescent="0.25">
      <c r="A1054" t="s">
        <v>9</v>
      </c>
      <c r="B1054">
        <v>7.4979578973130003</v>
      </c>
      <c r="C1054">
        <v>5.6679372510579</v>
      </c>
      <c r="D1054">
        <f t="shared" si="310"/>
        <v>1.8300206462551003</v>
      </c>
      <c r="E1054" s="1">
        <f t="shared" si="311"/>
        <v>0.32287242522198595</v>
      </c>
    </row>
    <row r="1055" spans="1:21" x14ac:dyDescent="0.25">
      <c r="A1055" t="s">
        <v>10</v>
      </c>
      <c r="B1055">
        <v>7.05755887364879</v>
      </c>
      <c r="C1055">
        <v>5.4670174208581299</v>
      </c>
      <c r="D1055">
        <f t="shared" si="310"/>
        <v>1.5905414527906601</v>
      </c>
      <c r="E1055" s="1">
        <f t="shared" si="311"/>
        <v>0.29093403776661114</v>
      </c>
    </row>
    <row r="1056" spans="1:21" x14ac:dyDescent="0.25">
      <c r="A1056" t="s">
        <v>11</v>
      </c>
      <c r="B1056">
        <v>18.501301237954401</v>
      </c>
      <c r="C1056">
        <v>15.957486175478</v>
      </c>
      <c r="D1056">
        <f t="shared" si="310"/>
        <v>2.5438150624764013</v>
      </c>
      <c r="E1056" s="1">
        <f t="shared" si="311"/>
        <v>0.15941201731294638</v>
      </c>
    </row>
    <row r="1058" spans="1:25" x14ac:dyDescent="0.25">
      <c r="A1058" s="6" t="s">
        <v>46</v>
      </c>
      <c r="B1058" s="6"/>
    </row>
    <row r="1060" spans="1:25" x14ac:dyDescent="0.25">
      <c r="A1060" t="s">
        <v>1</v>
      </c>
      <c r="B1060" t="s">
        <v>12</v>
      </c>
      <c r="C1060" t="s">
        <v>13</v>
      </c>
      <c r="E1060" t="s">
        <v>15</v>
      </c>
      <c r="I1060" t="s">
        <v>16</v>
      </c>
      <c r="J1060" t="s">
        <v>17</v>
      </c>
      <c r="K1060" t="s">
        <v>18</v>
      </c>
      <c r="U1060" s="1">
        <f t="shared" ref="U1060:U1069" si="312">J1061</f>
        <v>0.69980457325782264</v>
      </c>
      <c r="W1060" s="2">
        <f>O1074</f>
        <v>0.15035202540824849</v>
      </c>
      <c r="X1060" s="2">
        <f>O1075</f>
        <v>0.73897642775817729</v>
      </c>
      <c r="Y1060" s="2">
        <f>O1076</f>
        <v>0.47416321394069749</v>
      </c>
    </row>
    <row r="1061" spans="1:25" x14ac:dyDescent="0.25">
      <c r="A1061" t="s">
        <v>2</v>
      </c>
      <c r="B1061">
        <v>37.488</v>
      </c>
      <c r="C1061">
        <v>22.054300000000001</v>
      </c>
      <c r="D1061">
        <f t="shared" ref="D1061:D1070" si="313">B1061-C1061</f>
        <v>15.433699999999998</v>
      </c>
      <c r="E1061" s="1">
        <f t="shared" ref="E1061:E1070" si="314">D1061/C1061</f>
        <v>0.69980457325782264</v>
      </c>
      <c r="I1061" t="s">
        <v>2</v>
      </c>
      <c r="J1061" s="1">
        <f t="shared" ref="J1061:J1070" si="315">E1061</f>
        <v>0.69980457325782264</v>
      </c>
      <c r="K1061" s="1">
        <f t="shared" ref="K1061:K1070" si="316">E1074</f>
        <v>0.15796919421609384</v>
      </c>
      <c r="U1061" s="1">
        <f t="shared" si="312"/>
        <v>0.69762990976767258</v>
      </c>
    </row>
    <row r="1062" spans="1:25" x14ac:dyDescent="0.25">
      <c r="A1062" t="s">
        <v>3</v>
      </c>
      <c r="B1062">
        <v>36.988300000000002</v>
      </c>
      <c r="C1062">
        <v>21.7882</v>
      </c>
      <c r="D1062">
        <f t="shared" si="313"/>
        <v>15.200100000000003</v>
      </c>
      <c r="E1062" s="1">
        <f t="shared" si="314"/>
        <v>0.69762990976767258</v>
      </c>
      <c r="I1062" t="s">
        <v>3</v>
      </c>
      <c r="J1062" s="1">
        <f t="shared" si="315"/>
        <v>0.69762990976767258</v>
      </c>
      <c r="K1062" s="1">
        <f t="shared" si="316"/>
        <v>0.15035202540824849</v>
      </c>
      <c r="U1062" s="1">
        <f t="shared" si="312"/>
        <v>0.71098358333752176</v>
      </c>
    </row>
    <row r="1063" spans="1:25" x14ac:dyDescent="0.25">
      <c r="A1063" t="s">
        <v>4</v>
      </c>
      <c r="B1063">
        <v>37.447099999999999</v>
      </c>
      <c r="C1063">
        <v>21.886299999999999</v>
      </c>
      <c r="D1063">
        <f t="shared" si="313"/>
        <v>15.5608</v>
      </c>
      <c r="E1063" s="1">
        <f t="shared" si="314"/>
        <v>0.71098358333752176</v>
      </c>
      <c r="I1063" t="s">
        <v>4</v>
      </c>
      <c r="J1063" s="1">
        <f t="shared" si="315"/>
        <v>0.71098358333752176</v>
      </c>
      <c r="K1063" s="1">
        <f t="shared" si="316"/>
        <v>0.34930527316174975</v>
      </c>
      <c r="U1063" s="1">
        <f t="shared" si="312"/>
        <v>0.66197068953873184</v>
      </c>
    </row>
    <row r="1064" spans="1:25" x14ac:dyDescent="0.25">
      <c r="A1064" t="s">
        <v>5</v>
      </c>
      <c r="B1064">
        <v>36.913200000000003</v>
      </c>
      <c r="C1064">
        <v>22.2105</v>
      </c>
      <c r="D1064">
        <f t="shared" si="313"/>
        <v>14.702700000000004</v>
      </c>
      <c r="E1064" s="1">
        <f t="shared" si="314"/>
        <v>0.66197068953873184</v>
      </c>
      <c r="I1064" t="s">
        <v>5</v>
      </c>
      <c r="J1064" s="1">
        <f t="shared" si="315"/>
        <v>0.66197068953873184</v>
      </c>
      <c r="K1064" s="1">
        <f t="shared" si="316"/>
        <v>0.32837621845523524</v>
      </c>
      <c r="U1064" s="1">
        <f t="shared" si="312"/>
        <v>0.73705124816580259</v>
      </c>
    </row>
    <row r="1065" spans="1:25" x14ac:dyDescent="0.25">
      <c r="A1065" t="s">
        <v>6</v>
      </c>
      <c r="B1065">
        <v>38.118200000000002</v>
      </c>
      <c r="C1065">
        <v>21.944199999999999</v>
      </c>
      <c r="D1065">
        <f t="shared" si="313"/>
        <v>16.174000000000003</v>
      </c>
      <c r="E1065" s="1">
        <f t="shared" si="314"/>
        <v>0.73705124816580259</v>
      </c>
      <c r="I1065" t="s">
        <v>6</v>
      </c>
      <c r="J1065" s="1">
        <f t="shared" si="315"/>
        <v>0.73705124816580259</v>
      </c>
      <c r="K1065" s="1">
        <f t="shared" si="316"/>
        <v>0.34610056415818319</v>
      </c>
      <c r="U1065" s="1">
        <f t="shared" si="312"/>
        <v>0.73897642775817729</v>
      </c>
    </row>
    <row r="1066" spans="1:25" x14ac:dyDescent="0.25">
      <c r="A1066" t="s">
        <v>7</v>
      </c>
      <c r="B1066">
        <v>37.114800000000002</v>
      </c>
      <c r="C1066">
        <v>21.3429</v>
      </c>
      <c r="D1066">
        <f t="shared" si="313"/>
        <v>15.771900000000002</v>
      </c>
      <c r="E1066" s="1">
        <f t="shared" si="314"/>
        <v>0.73897642775817729</v>
      </c>
      <c r="I1066" t="s">
        <v>7</v>
      </c>
      <c r="J1066" s="1">
        <f t="shared" si="315"/>
        <v>0.73897642775817729</v>
      </c>
      <c r="K1066" s="1">
        <f t="shared" si="316"/>
        <v>0.36666526104699931</v>
      </c>
      <c r="U1066" s="1">
        <f t="shared" si="312"/>
        <v>0.67672423529199177</v>
      </c>
    </row>
    <row r="1067" spans="1:25" x14ac:dyDescent="0.25">
      <c r="A1067" t="s">
        <v>8</v>
      </c>
      <c r="B1067">
        <v>37.1158</v>
      </c>
      <c r="C1067">
        <v>22.135899999999999</v>
      </c>
      <c r="D1067">
        <f t="shared" si="313"/>
        <v>14.979900000000001</v>
      </c>
      <c r="E1067" s="1">
        <f t="shared" si="314"/>
        <v>0.67672423529199177</v>
      </c>
      <c r="I1067" t="s">
        <v>8</v>
      </c>
      <c r="J1067" s="1">
        <f t="shared" si="315"/>
        <v>0.67672423529199177</v>
      </c>
      <c r="K1067" s="1">
        <f t="shared" si="316"/>
        <v>0.32689883853830204</v>
      </c>
      <c r="U1067" s="1">
        <f t="shared" si="312"/>
        <v>0.70253765646665522</v>
      </c>
    </row>
    <row r="1068" spans="1:25" x14ac:dyDescent="0.25">
      <c r="A1068" t="s">
        <v>9</v>
      </c>
      <c r="B1068">
        <v>35.853400000000001</v>
      </c>
      <c r="C1068">
        <v>21.058800000000002</v>
      </c>
      <c r="D1068">
        <f t="shared" si="313"/>
        <v>14.794599999999999</v>
      </c>
      <c r="E1068" s="1">
        <f t="shared" si="314"/>
        <v>0.70253765646665522</v>
      </c>
      <c r="I1068" t="s">
        <v>9</v>
      </c>
      <c r="J1068" s="1">
        <f t="shared" si="315"/>
        <v>0.70253765646665522</v>
      </c>
      <c r="K1068" s="1">
        <f t="shared" si="316"/>
        <v>0.32396432845176354</v>
      </c>
      <c r="U1068" s="1">
        <f t="shared" si="312"/>
        <v>0.69262409263827618</v>
      </c>
    </row>
    <row r="1069" spans="1:25" x14ac:dyDescent="0.25">
      <c r="A1069" t="s">
        <v>10</v>
      </c>
      <c r="B1069">
        <v>33.4146</v>
      </c>
      <c r="C1069">
        <v>19.741299999999999</v>
      </c>
      <c r="D1069">
        <f t="shared" si="313"/>
        <v>13.673300000000001</v>
      </c>
      <c r="E1069" s="1">
        <f t="shared" si="314"/>
        <v>0.69262409263827618</v>
      </c>
      <c r="I1069" t="s">
        <v>10</v>
      </c>
      <c r="J1069" s="1">
        <f t="shared" si="315"/>
        <v>0.69262409263827618</v>
      </c>
      <c r="K1069" s="1">
        <f t="shared" si="316"/>
        <v>0.29991945819170979</v>
      </c>
      <c r="U1069" s="1">
        <f t="shared" si="312"/>
        <v>0.27854552873204652</v>
      </c>
    </row>
    <row r="1070" spans="1:25" x14ac:dyDescent="0.25">
      <c r="A1070" t="s">
        <v>11</v>
      </c>
      <c r="B1070">
        <v>107.792</v>
      </c>
      <c r="C1070">
        <v>84.308300000000003</v>
      </c>
      <c r="D1070">
        <f t="shared" si="313"/>
        <v>23.483699999999999</v>
      </c>
      <c r="E1070" s="1">
        <f t="shared" si="314"/>
        <v>0.27854552873204652</v>
      </c>
      <c r="I1070" t="s">
        <v>11</v>
      </c>
      <c r="J1070" s="1">
        <f t="shared" si="315"/>
        <v>0.27854552873204652</v>
      </c>
      <c r="K1070" s="1">
        <f t="shared" si="316"/>
        <v>0.23686517223096662</v>
      </c>
      <c r="U1070" s="1">
        <f t="shared" ref="U1070:U1079" si="317">K1061</f>
        <v>0.15796919421609384</v>
      </c>
    </row>
    <row r="1071" spans="1:25" x14ac:dyDescent="0.25">
      <c r="U1071" s="1">
        <f t="shared" si="317"/>
        <v>0.15035202540824849</v>
      </c>
    </row>
    <row r="1072" spans="1:25" x14ac:dyDescent="0.25">
      <c r="U1072" s="1">
        <f t="shared" si="317"/>
        <v>0.34930527316174975</v>
      </c>
    </row>
    <row r="1073" spans="1:21" x14ac:dyDescent="0.25">
      <c r="A1073" t="s">
        <v>1</v>
      </c>
      <c r="B1073" t="s">
        <v>14</v>
      </c>
      <c r="C1073" t="s">
        <v>13</v>
      </c>
      <c r="I1073" t="s">
        <v>19</v>
      </c>
      <c r="J1073" s="2">
        <f>AVERAGE(J1061:J1070)</f>
        <v>0.65968479449546991</v>
      </c>
      <c r="K1073" s="2">
        <f>AVERAGE(K1061:K1070)</f>
        <v>0.28864163338592524</v>
      </c>
      <c r="U1073" s="1">
        <f t="shared" si="317"/>
        <v>0.32837621845523524</v>
      </c>
    </row>
    <row r="1074" spans="1:21" x14ac:dyDescent="0.25">
      <c r="A1074" t="s">
        <v>2</v>
      </c>
      <c r="B1074">
        <v>25.5382</v>
      </c>
      <c r="C1074">
        <v>22.054300000000001</v>
      </c>
      <c r="D1074">
        <f t="shared" ref="D1074:D1083" si="318">B1074-C1074</f>
        <v>3.4838999999999984</v>
      </c>
      <c r="E1074" s="1">
        <f t="shared" ref="E1074:E1083" si="319">D1074/C1074</f>
        <v>0.15796919421609384</v>
      </c>
      <c r="N1074" t="s">
        <v>20</v>
      </c>
      <c r="O1074" s="2">
        <f>MIN(U1060:U1079)</f>
        <v>0.15035202540824849</v>
      </c>
      <c r="U1074" s="1">
        <f t="shared" si="317"/>
        <v>0.34610056415818319</v>
      </c>
    </row>
    <row r="1075" spans="1:21" x14ac:dyDescent="0.25">
      <c r="A1075" t="s">
        <v>3</v>
      </c>
      <c r="B1075">
        <v>25.0641</v>
      </c>
      <c r="C1075">
        <v>21.7882</v>
      </c>
      <c r="D1075">
        <f t="shared" si="318"/>
        <v>3.2759</v>
      </c>
      <c r="E1075" s="1">
        <f t="shared" si="319"/>
        <v>0.15035202540824849</v>
      </c>
      <c r="N1075" t="s">
        <v>21</v>
      </c>
      <c r="O1075" s="2">
        <f>MAX(U1060:U1079)</f>
        <v>0.73897642775817729</v>
      </c>
      <c r="U1075" s="1">
        <f t="shared" si="317"/>
        <v>0.36666526104699931</v>
      </c>
    </row>
    <row r="1076" spans="1:21" x14ac:dyDescent="0.25">
      <c r="A1076" t="s">
        <v>4</v>
      </c>
      <c r="B1076">
        <v>29.531300000000002</v>
      </c>
      <c r="C1076">
        <v>21.886299999999999</v>
      </c>
      <c r="D1076">
        <f t="shared" si="318"/>
        <v>7.6450000000000031</v>
      </c>
      <c r="E1076" s="1">
        <f t="shared" si="319"/>
        <v>0.34930527316174975</v>
      </c>
      <c r="N1076" t="s">
        <v>22</v>
      </c>
      <c r="O1076" s="2">
        <f>AVERAGE(U1060:U1079)</f>
        <v>0.47416321394069749</v>
      </c>
      <c r="U1076" s="1">
        <f t="shared" si="317"/>
        <v>0.32689883853830204</v>
      </c>
    </row>
    <row r="1077" spans="1:21" x14ac:dyDescent="0.25">
      <c r="A1077" t="s">
        <v>5</v>
      </c>
      <c r="B1077">
        <v>29.503900000000002</v>
      </c>
      <c r="C1077">
        <v>22.2105</v>
      </c>
      <c r="D1077">
        <f t="shared" si="318"/>
        <v>7.2934000000000019</v>
      </c>
      <c r="E1077" s="1">
        <f t="shared" si="319"/>
        <v>0.32837621845523524</v>
      </c>
      <c r="U1077" s="1">
        <f t="shared" si="317"/>
        <v>0.32396432845176354</v>
      </c>
    </row>
    <row r="1078" spans="1:21" x14ac:dyDescent="0.25">
      <c r="A1078" t="s">
        <v>6</v>
      </c>
      <c r="B1078">
        <v>29.539100000000001</v>
      </c>
      <c r="C1078">
        <v>21.944199999999999</v>
      </c>
      <c r="D1078">
        <f t="shared" si="318"/>
        <v>7.5949000000000026</v>
      </c>
      <c r="E1078" s="1">
        <f t="shared" si="319"/>
        <v>0.34610056415818319</v>
      </c>
      <c r="U1078" s="1">
        <f t="shared" si="317"/>
        <v>0.29991945819170979</v>
      </c>
    </row>
    <row r="1079" spans="1:21" x14ac:dyDescent="0.25">
      <c r="A1079" t="s">
        <v>7</v>
      </c>
      <c r="B1079">
        <v>29.168600000000001</v>
      </c>
      <c r="C1079">
        <v>21.3429</v>
      </c>
      <c r="D1079">
        <f t="shared" si="318"/>
        <v>7.8257000000000012</v>
      </c>
      <c r="E1079" s="1">
        <f t="shared" si="319"/>
        <v>0.36666526104699931</v>
      </c>
      <c r="U1079" s="1">
        <f t="shared" si="317"/>
        <v>0.23686517223096662</v>
      </c>
    </row>
    <row r="1080" spans="1:21" x14ac:dyDescent="0.25">
      <c r="A1080" t="s">
        <v>8</v>
      </c>
      <c r="B1080">
        <v>29.3721</v>
      </c>
      <c r="C1080">
        <v>22.135899999999999</v>
      </c>
      <c r="D1080">
        <f t="shared" si="318"/>
        <v>7.2362000000000002</v>
      </c>
      <c r="E1080" s="1">
        <f t="shared" si="319"/>
        <v>0.32689883853830204</v>
      </c>
    </row>
    <row r="1081" spans="1:21" x14ac:dyDescent="0.25">
      <c r="A1081" t="s">
        <v>9</v>
      </c>
      <c r="B1081">
        <v>27.8811</v>
      </c>
      <c r="C1081">
        <v>21.058800000000002</v>
      </c>
      <c r="D1081">
        <f t="shared" si="318"/>
        <v>6.8222999999999985</v>
      </c>
      <c r="E1081" s="1">
        <f t="shared" si="319"/>
        <v>0.32396432845176354</v>
      </c>
    </row>
    <row r="1082" spans="1:21" x14ac:dyDescent="0.25">
      <c r="A1082" t="s">
        <v>10</v>
      </c>
      <c r="B1082">
        <v>25.662099999999999</v>
      </c>
      <c r="C1082">
        <v>19.741299999999999</v>
      </c>
      <c r="D1082">
        <f t="shared" si="318"/>
        <v>5.9207999999999998</v>
      </c>
      <c r="E1082" s="1">
        <f t="shared" si="319"/>
        <v>0.29991945819170979</v>
      </c>
    </row>
    <row r="1083" spans="1:21" x14ac:dyDescent="0.25">
      <c r="A1083" t="s">
        <v>11</v>
      </c>
      <c r="B1083">
        <v>104.27800000000001</v>
      </c>
      <c r="C1083">
        <v>84.308300000000003</v>
      </c>
      <c r="D1083">
        <f t="shared" si="318"/>
        <v>19.969700000000003</v>
      </c>
      <c r="E1083" s="1">
        <f t="shared" si="319"/>
        <v>0.23686517223096662</v>
      </c>
    </row>
  </sheetData>
  <mergeCells count="41">
    <mergeCell ref="A406:B406"/>
    <mergeCell ref="A271:B271"/>
    <mergeCell ref="A298:B298"/>
    <mergeCell ref="A325:B325"/>
    <mergeCell ref="A352:B352"/>
    <mergeCell ref="A379:B379"/>
    <mergeCell ref="A136:B136"/>
    <mergeCell ref="A163:B163"/>
    <mergeCell ref="A190:B190"/>
    <mergeCell ref="A217:B217"/>
    <mergeCell ref="A244:B244"/>
    <mergeCell ref="A1:B1"/>
    <mergeCell ref="A28:B28"/>
    <mergeCell ref="A55:B55"/>
    <mergeCell ref="A82:B82"/>
    <mergeCell ref="A109:B109"/>
    <mergeCell ref="A433:B433"/>
    <mergeCell ref="A460:B460"/>
    <mergeCell ref="A487:B487"/>
    <mergeCell ref="A514:B514"/>
    <mergeCell ref="A543:E543"/>
    <mergeCell ref="A545:B545"/>
    <mergeCell ref="A572:B572"/>
    <mergeCell ref="A599:B599"/>
    <mergeCell ref="A626:B626"/>
    <mergeCell ref="A653:B653"/>
    <mergeCell ref="A680:B680"/>
    <mergeCell ref="A707:B707"/>
    <mergeCell ref="A734:B734"/>
    <mergeCell ref="A761:B761"/>
    <mergeCell ref="A788:B788"/>
    <mergeCell ref="A815:B815"/>
    <mergeCell ref="A842:B842"/>
    <mergeCell ref="A869:B869"/>
    <mergeCell ref="A896:B896"/>
    <mergeCell ref="A923:B923"/>
    <mergeCell ref="A950:B950"/>
    <mergeCell ref="A977:B977"/>
    <mergeCell ref="A1004:B1004"/>
    <mergeCell ref="A1031:B1031"/>
    <mergeCell ref="A1058:B105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242A-AC12-4859-9CF6-A823A90A2AF1}">
  <dimension ref="A1:AD1083"/>
  <sheetViews>
    <sheetView topLeftCell="J7" workbookViewId="0">
      <selection activeCell="AC8" sqref="AC8"/>
    </sheetView>
  </sheetViews>
  <sheetFormatPr defaultRowHeight="15" x14ac:dyDescent="0.25"/>
  <sheetData>
    <row r="1" spans="1:30" x14ac:dyDescent="0.25">
      <c r="A1" s="6" t="s">
        <v>26</v>
      </c>
      <c r="B1" s="6"/>
      <c r="W1" t="s">
        <v>23</v>
      </c>
      <c r="X1" t="s">
        <v>24</v>
      </c>
      <c r="Y1" t="s">
        <v>25</v>
      </c>
      <c r="AA1" t="s">
        <v>80</v>
      </c>
      <c r="AD1" s="2">
        <f>AVERAGE(U219:U238,U246:U265,U381:U400,U408:U427,U763:U782,U790:U809,U925:U944,U952:U971)</f>
        <v>1.0199215883949335</v>
      </c>
    </row>
    <row r="2" spans="1:30" x14ac:dyDescent="0.25">
      <c r="AA2" t="s">
        <v>79</v>
      </c>
      <c r="AD2" s="2">
        <f>MIN(U219:U238,U246:U265,U381:U400,U408:U427,U763:U782,U790:U809,U925:U944,U952:U971)</f>
        <v>7.4853464503113573E-2</v>
      </c>
    </row>
    <row r="3" spans="1:30" x14ac:dyDescent="0.25">
      <c r="A3" t="s">
        <v>1</v>
      </c>
      <c r="B3" t="s">
        <v>12</v>
      </c>
      <c r="C3" t="s">
        <v>13</v>
      </c>
      <c r="E3" t="s">
        <v>15</v>
      </c>
      <c r="I3" t="s">
        <v>16</v>
      </c>
      <c r="J3" t="s">
        <v>17</v>
      </c>
      <c r="K3" t="s">
        <v>18</v>
      </c>
      <c r="U3" s="1">
        <f t="shared" ref="U3:U12" si="0">J4</f>
        <v>4.8678968730911662E-3</v>
      </c>
      <c r="W3" s="2">
        <f>O17</f>
        <v>2.4307769526371618E-3</v>
      </c>
      <c r="X3" s="2">
        <f>O18</f>
        <v>0.1223737250822777</v>
      </c>
      <c r="Y3" s="2">
        <f>O19</f>
        <v>1.6885134949675688E-2</v>
      </c>
      <c r="AA3" t="s">
        <v>81</v>
      </c>
      <c r="AD3" s="2">
        <f>MAX(U219:U238,U246:U265,U381:U400,U408:U427,U763:U782,U790:U809,U925:U944,U952:U971)</f>
        <v>2.3354981400702122</v>
      </c>
    </row>
    <row r="4" spans="1:30" x14ac:dyDescent="0.25">
      <c r="A4" t="s">
        <v>2</v>
      </c>
      <c r="B4">
        <v>1.02328373858808</v>
      </c>
      <c r="C4">
        <v>1.0183266295722</v>
      </c>
      <c r="D4">
        <f t="shared" ref="D4:D13" si="1">B4-C4</f>
        <v>4.9571090158799791E-3</v>
      </c>
      <c r="E4" s="1">
        <f t="shared" ref="E4:E13" si="2">D4/C4</f>
        <v>4.8678968730911662E-3</v>
      </c>
      <c r="I4" t="s">
        <v>2</v>
      </c>
      <c r="J4" s="1">
        <f t="shared" ref="J4:J13" si="3">E4</f>
        <v>4.8678968730911662E-3</v>
      </c>
      <c r="K4" s="1">
        <f t="shared" ref="K4:K13" si="4">E17</f>
        <v>5.2320919559555989E-3</v>
      </c>
      <c r="U4" s="1">
        <f t="shared" si="0"/>
        <v>7.5389470909177549E-3</v>
      </c>
    </row>
    <row r="5" spans="1:30" x14ac:dyDescent="0.25">
      <c r="A5" t="s">
        <v>3</v>
      </c>
      <c r="B5">
        <v>1.02801456566934</v>
      </c>
      <c r="C5">
        <v>1.0203224090121199</v>
      </c>
      <c r="D5">
        <f t="shared" si="1"/>
        <v>7.6921566572201172E-3</v>
      </c>
      <c r="E5" s="1">
        <f t="shared" si="2"/>
        <v>7.5389470909177549E-3</v>
      </c>
      <c r="I5" t="s">
        <v>3</v>
      </c>
      <c r="J5" s="1">
        <f t="shared" si="3"/>
        <v>7.5389470909177549E-3</v>
      </c>
      <c r="K5" s="1">
        <f t="shared" si="4"/>
        <v>3.7915688089371988E-3</v>
      </c>
      <c r="U5" s="1">
        <f t="shared" si="0"/>
        <v>5.4743258324129384E-3</v>
      </c>
    </row>
    <row r="6" spans="1:30" x14ac:dyDescent="0.25">
      <c r="A6" t="s">
        <v>4</v>
      </c>
      <c r="B6">
        <v>1.03108048359396</v>
      </c>
      <c r="C6">
        <v>1.02546674450424</v>
      </c>
      <c r="D6">
        <f t="shared" si="1"/>
        <v>5.6137390897199602E-3</v>
      </c>
      <c r="E6" s="1">
        <f t="shared" si="2"/>
        <v>5.4743258324129384E-3</v>
      </c>
      <c r="I6" t="s">
        <v>4</v>
      </c>
      <c r="J6" s="1">
        <f t="shared" si="3"/>
        <v>5.4743258324129384E-3</v>
      </c>
      <c r="K6" s="1">
        <f t="shared" si="4"/>
        <v>4.0328844504160105E-3</v>
      </c>
      <c r="U6" s="1">
        <f t="shared" si="0"/>
        <v>5.1991352267205708E-3</v>
      </c>
    </row>
    <row r="7" spans="1:30" x14ac:dyDescent="0.25">
      <c r="A7" t="s">
        <v>5</v>
      </c>
      <c r="B7">
        <v>1.0318376724215801</v>
      </c>
      <c r="C7">
        <v>1.02650075617987</v>
      </c>
      <c r="D7">
        <f t="shared" si="1"/>
        <v>5.3369162417100657E-3</v>
      </c>
      <c r="E7" s="1">
        <f t="shared" si="2"/>
        <v>5.1991352267205708E-3</v>
      </c>
      <c r="I7" t="s">
        <v>5</v>
      </c>
      <c r="J7" s="1">
        <f t="shared" si="3"/>
        <v>5.1991352267205708E-3</v>
      </c>
      <c r="K7" s="1">
        <f t="shared" si="4"/>
        <v>8.816098373223457E-3</v>
      </c>
      <c r="U7" s="1">
        <f t="shared" si="0"/>
        <v>7.3157075707873812E-3</v>
      </c>
    </row>
    <row r="8" spans="1:30" x14ac:dyDescent="0.25">
      <c r="A8" t="s">
        <v>6</v>
      </c>
      <c r="B8">
        <v>1.03693973696103</v>
      </c>
      <c r="C8">
        <v>1.02940888260512</v>
      </c>
      <c r="D8">
        <f t="shared" si="1"/>
        <v>7.5308543559100549E-3</v>
      </c>
      <c r="E8" s="1">
        <f t="shared" si="2"/>
        <v>7.3157075707873812E-3</v>
      </c>
      <c r="I8" t="s">
        <v>6</v>
      </c>
      <c r="J8" s="1">
        <f t="shared" si="3"/>
        <v>7.3157075707873812E-3</v>
      </c>
      <c r="K8" s="1">
        <f t="shared" si="4"/>
        <v>5.6516554574280072E-3</v>
      </c>
      <c r="U8" s="1">
        <f t="shared" si="0"/>
        <v>7.2723677368639892E-3</v>
      </c>
    </row>
    <row r="9" spans="1:30" x14ac:dyDescent="0.25">
      <c r="A9" t="s">
        <v>7</v>
      </c>
      <c r="B9">
        <v>1.0375632125101599</v>
      </c>
      <c r="C9">
        <v>1.0300721490467899</v>
      </c>
      <c r="D9">
        <f t="shared" si="1"/>
        <v>7.491063463370029E-3</v>
      </c>
      <c r="E9" s="1">
        <f t="shared" si="2"/>
        <v>7.2723677368639892E-3</v>
      </c>
      <c r="I9" t="s">
        <v>7</v>
      </c>
      <c r="J9" s="1">
        <f t="shared" si="3"/>
        <v>7.2723677368639892E-3</v>
      </c>
      <c r="K9" s="1">
        <f t="shared" si="4"/>
        <v>6.7204849560549033E-3</v>
      </c>
      <c r="U9" s="1">
        <f t="shared" si="0"/>
        <v>7.4172450125424968E-3</v>
      </c>
    </row>
    <row r="10" spans="1:30" x14ac:dyDescent="0.25">
      <c r="A10" t="s">
        <v>8</v>
      </c>
      <c r="B10">
        <v>1.0386678976861901</v>
      </c>
      <c r="C10">
        <v>1.03102056553862</v>
      </c>
      <c r="D10">
        <f t="shared" si="1"/>
        <v>7.647332147570074E-3</v>
      </c>
      <c r="E10" s="1">
        <f t="shared" si="2"/>
        <v>7.4172450125424968E-3</v>
      </c>
      <c r="I10" t="s">
        <v>8</v>
      </c>
      <c r="J10" s="1">
        <f t="shared" si="3"/>
        <v>7.4172450125424968E-3</v>
      </c>
      <c r="K10" s="1">
        <f t="shared" si="4"/>
        <v>6.7348004450158826E-3</v>
      </c>
      <c r="U10" s="1">
        <f t="shared" si="0"/>
        <v>4.8359957300458294E-3</v>
      </c>
    </row>
    <row r="11" spans="1:30" x14ac:dyDescent="0.25">
      <c r="A11" t="s">
        <v>9</v>
      </c>
      <c r="B11">
        <v>1.0500354912772201</v>
      </c>
      <c r="C11">
        <v>1.0449819629663399</v>
      </c>
      <c r="D11">
        <f t="shared" si="1"/>
        <v>5.0535283108801288E-3</v>
      </c>
      <c r="E11" s="1">
        <f t="shared" si="2"/>
        <v>4.8359957300458294E-3</v>
      </c>
      <c r="I11" t="s">
        <v>9</v>
      </c>
      <c r="J11" s="1">
        <f t="shared" si="3"/>
        <v>4.8359957300458294E-3</v>
      </c>
      <c r="K11" s="1">
        <f t="shared" si="4"/>
        <v>2.4307769526371618E-3</v>
      </c>
      <c r="U11" s="1">
        <f t="shared" si="0"/>
        <v>6.1037666234532266E-3</v>
      </c>
    </row>
    <row r="12" spans="1:30" x14ac:dyDescent="0.25">
      <c r="A12" t="s">
        <v>10</v>
      </c>
      <c r="B12">
        <v>1.07155277140015</v>
      </c>
      <c r="C12">
        <v>1.0650519428988401</v>
      </c>
      <c r="D12">
        <f t="shared" si="1"/>
        <v>6.500828501309952E-3</v>
      </c>
      <c r="E12" s="1">
        <f t="shared" si="2"/>
        <v>6.1037666234532266E-3</v>
      </c>
      <c r="I12" t="s">
        <v>10</v>
      </c>
      <c r="J12" s="1">
        <f t="shared" si="3"/>
        <v>6.1037666234532266E-3</v>
      </c>
      <c r="K12" s="1">
        <f t="shared" si="4"/>
        <v>3.0248939234185624E-3</v>
      </c>
      <c r="U12" s="1">
        <f t="shared" si="0"/>
        <v>0.1223737250822777</v>
      </c>
    </row>
    <row r="13" spans="1:30" x14ac:dyDescent="0.25">
      <c r="A13" t="s">
        <v>11</v>
      </c>
      <c r="B13">
        <v>1.5626115853217599</v>
      </c>
      <c r="C13">
        <v>1.3922382094317201</v>
      </c>
      <c r="D13">
        <f t="shared" si="1"/>
        <v>0.17037337589003987</v>
      </c>
      <c r="E13" s="1">
        <f t="shared" si="2"/>
        <v>0.1223737250822777</v>
      </c>
      <c r="I13" t="s">
        <v>11</v>
      </c>
      <c r="J13" s="1">
        <f t="shared" si="3"/>
        <v>0.1223737250822777</v>
      </c>
      <c r="K13" s="1">
        <f t="shared" si="4"/>
        <v>0.11286833089131396</v>
      </c>
      <c r="U13" s="1">
        <f t="shared" ref="U13:U22" si="5">K4</f>
        <v>5.2320919559555989E-3</v>
      </c>
    </row>
    <row r="14" spans="1:30" x14ac:dyDescent="0.25">
      <c r="U14" s="1">
        <f t="shared" si="5"/>
        <v>3.7915688089371988E-3</v>
      </c>
    </row>
    <row r="15" spans="1:30" x14ac:dyDescent="0.25">
      <c r="U15" s="1">
        <f t="shared" si="5"/>
        <v>4.0328844504160105E-3</v>
      </c>
    </row>
    <row r="16" spans="1:30" x14ac:dyDescent="0.25">
      <c r="A16" t="s">
        <v>1</v>
      </c>
      <c r="B16" t="s">
        <v>14</v>
      </c>
      <c r="C16" t="s">
        <v>13</v>
      </c>
      <c r="I16" t="s">
        <v>19</v>
      </c>
      <c r="J16" s="2">
        <f>AVERAGE(J4:J13)</f>
        <v>1.7839911277911309E-2</v>
      </c>
      <c r="K16" s="2">
        <f>AVERAGE(K4:K13)</f>
        <v>1.5930358621440075E-2</v>
      </c>
      <c r="U16" s="1">
        <f t="shared" si="5"/>
        <v>8.816098373223457E-3</v>
      </c>
    </row>
    <row r="17" spans="1:25" x14ac:dyDescent="0.25">
      <c r="A17" t="s">
        <v>2</v>
      </c>
      <c r="B17">
        <v>1.0236546081393201</v>
      </c>
      <c r="C17">
        <v>1.0183266295722</v>
      </c>
      <c r="D17">
        <f t="shared" ref="D17:D26" si="6">B17-C17</f>
        <v>5.3279785671200841E-3</v>
      </c>
      <c r="E17" s="1">
        <f t="shared" ref="E17:E26" si="7">D17/C17</f>
        <v>5.2320919559555989E-3</v>
      </c>
      <c r="N17" t="s">
        <v>20</v>
      </c>
      <c r="O17" s="2">
        <f>MIN(U3:U22)</f>
        <v>2.4307769526371618E-3</v>
      </c>
      <c r="U17" s="1">
        <f t="shared" si="5"/>
        <v>5.6516554574280072E-3</v>
      </c>
    </row>
    <row r="18" spans="1:25" x14ac:dyDescent="0.25">
      <c r="A18" t="s">
        <v>3</v>
      </c>
      <c r="B18">
        <v>1.0241910316331899</v>
      </c>
      <c r="C18">
        <v>1.0203224090121199</v>
      </c>
      <c r="D18">
        <f t="shared" si="6"/>
        <v>3.868622621070017E-3</v>
      </c>
      <c r="E18" s="1">
        <f t="shared" si="7"/>
        <v>3.7915688089371988E-3</v>
      </c>
      <c r="N18" t="s">
        <v>21</v>
      </c>
      <c r="O18" s="2">
        <f>MAX(U3:U22)</f>
        <v>0.1223737250822777</v>
      </c>
      <c r="U18" s="1">
        <f t="shared" si="5"/>
        <v>6.7204849560549033E-3</v>
      </c>
    </row>
    <row r="19" spans="1:25" x14ac:dyDescent="0.25">
      <c r="A19" t="s">
        <v>4</v>
      </c>
      <c r="B19">
        <v>1.0296023333925699</v>
      </c>
      <c r="C19">
        <v>1.02546674450424</v>
      </c>
      <c r="D19">
        <f t="shared" si="6"/>
        <v>4.1355888883298775E-3</v>
      </c>
      <c r="E19" s="1">
        <f t="shared" si="7"/>
        <v>4.0328844504160105E-3</v>
      </c>
      <c r="N19" t="s">
        <v>22</v>
      </c>
      <c r="O19" s="2">
        <f>AVERAGE(U3:U22)</f>
        <v>1.6885134949675688E-2</v>
      </c>
      <c r="U19" s="1">
        <f t="shared" si="5"/>
        <v>6.7348004450158826E-3</v>
      </c>
    </row>
    <row r="20" spans="1:25" x14ac:dyDescent="0.25">
      <c r="A20" t="s">
        <v>5</v>
      </c>
      <c r="B20">
        <v>1.03555048782654</v>
      </c>
      <c r="C20">
        <v>1.02650075617987</v>
      </c>
      <c r="D20">
        <f t="shared" si="6"/>
        <v>9.0497316466700006E-3</v>
      </c>
      <c r="E20" s="1">
        <f t="shared" si="7"/>
        <v>8.816098373223457E-3</v>
      </c>
      <c r="U20" s="1">
        <f t="shared" si="5"/>
        <v>2.4307769526371618E-3</v>
      </c>
    </row>
    <row r="21" spans="1:25" x14ac:dyDescent="0.25">
      <c r="A21" t="s">
        <v>6</v>
      </c>
      <c r="B21">
        <v>1.0352267469344201</v>
      </c>
      <c r="C21">
        <v>1.02940888260512</v>
      </c>
      <c r="D21">
        <f t="shared" si="6"/>
        <v>5.8178643293000931E-3</v>
      </c>
      <c r="E21" s="1">
        <f t="shared" si="7"/>
        <v>5.6516554574280072E-3</v>
      </c>
      <c r="U21" s="1">
        <f t="shared" si="5"/>
        <v>3.0248939234185624E-3</v>
      </c>
    </row>
    <row r="22" spans="1:25" x14ac:dyDescent="0.25">
      <c r="A22" t="s">
        <v>7</v>
      </c>
      <c r="B22">
        <v>1.03699473342811</v>
      </c>
      <c r="C22">
        <v>1.0300721490467899</v>
      </c>
      <c r="D22">
        <f t="shared" si="6"/>
        <v>6.922584381320096E-3</v>
      </c>
      <c r="E22" s="1">
        <f t="shared" si="7"/>
        <v>6.7204849560549033E-3</v>
      </c>
      <c r="U22" s="1">
        <f t="shared" si="5"/>
        <v>0.11286833089131396</v>
      </c>
    </row>
    <row r="23" spans="1:25" x14ac:dyDescent="0.25">
      <c r="A23" t="s">
        <v>8</v>
      </c>
      <c r="B23">
        <v>1.03796428330223</v>
      </c>
      <c r="C23">
        <v>1.03102056553862</v>
      </c>
      <c r="D23">
        <f t="shared" si="6"/>
        <v>6.9437177636100245E-3</v>
      </c>
      <c r="E23" s="1">
        <f t="shared" si="7"/>
        <v>6.7348004450158826E-3</v>
      </c>
    </row>
    <row r="24" spans="1:25" x14ac:dyDescent="0.25">
      <c r="A24" t="s">
        <v>9</v>
      </c>
      <c r="B24">
        <v>1.0475220810378401</v>
      </c>
      <c r="C24">
        <v>1.0449819629663399</v>
      </c>
      <c r="D24">
        <f t="shared" si="6"/>
        <v>2.5401180715001193E-3</v>
      </c>
      <c r="E24" s="1">
        <f t="shared" si="7"/>
        <v>2.4307769526371618E-3</v>
      </c>
    </row>
    <row r="25" spans="1:25" x14ac:dyDescent="0.25">
      <c r="A25" t="s">
        <v>10</v>
      </c>
      <c r="B25">
        <v>1.0682736120490399</v>
      </c>
      <c r="C25">
        <v>1.0650519428988401</v>
      </c>
      <c r="D25">
        <f t="shared" si="6"/>
        <v>3.2216691501998351E-3</v>
      </c>
      <c r="E25" s="1">
        <f t="shared" si="7"/>
        <v>3.0248939234185624E-3</v>
      </c>
    </row>
    <row r="26" spans="1:25" x14ac:dyDescent="0.25">
      <c r="A26" t="s">
        <v>11</v>
      </c>
      <c r="B26">
        <v>1.5493778123333899</v>
      </c>
      <c r="C26">
        <v>1.3922382094317201</v>
      </c>
      <c r="D26">
        <f t="shared" si="6"/>
        <v>0.15713960290166984</v>
      </c>
      <c r="E26" s="1">
        <f t="shared" si="7"/>
        <v>0.11286833089131396</v>
      </c>
    </row>
    <row r="28" spans="1:25" x14ac:dyDescent="0.25">
      <c r="A28" s="6" t="s">
        <v>27</v>
      </c>
      <c r="B28" s="6"/>
    </row>
    <row r="30" spans="1:25" x14ac:dyDescent="0.25">
      <c r="A30" t="s">
        <v>1</v>
      </c>
      <c r="B30" t="s">
        <v>12</v>
      </c>
      <c r="C30" t="s">
        <v>13</v>
      </c>
      <c r="E30" t="s">
        <v>15</v>
      </c>
      <c r="I30" t="s">
        <v>16</v>
      </c>
      <c r="J30" t="s">
        <v>17</v>
      </c>
      <c r="K30" t="s">
        <v>18</v>
      </c>
      <c r="U30" s="1">
        <f t="shared" ref="U30:U39" si="8">J31</f>
        <v>0.11568645990922841</v>
      </c>
      <c r="W30" s="2">
        <f>O44</f>
        <v>2.6761606652171031E-3</v>
      </c>
      <c r="X30" s="2">
        <f>O45</f>
        <v>0.34504793551847285</v>
      </c>
      <c r="Y30" s="2">
        <f>O46</f>
        <v>0.13080439177018147</v>
      </c>
    </row>
    <row r="31" spans="1:25" x14ac:dyDescent="0.25">
      <c r="A31" t="s">
        <v>2</v>
      </c>
      <c r="B31">
        <v>1.6519299999999999</v>
      </c>
      <c r="C31">
        <v>1.48064</v>
      </c>
      <c r="D31">
        <f t="shared" ref="D31:D40" si="9">B31-C31</f>
        <v>0.17128999999999994</v>
      </c>
      <c r="E31" s="1">
        <f t="shared" ref="E31:E40" si="10">D31/C31</f>
        <v>0.11568645990922841</v>
      </c>
      <c r="I31" t="s">
        <v>2</v>
      </c>
      <c r="J31" s="1">
        <f t="shared" ref="J31:J40" si="11">E31</f>
        <v>0.11568645990922841</v>
      </c>
      <c r="K31" s="1">
        <f t="shared" ref="K31:K40" si="12">E44</f>
        <v>9.5391182191484791E-2</v>
      </c>
      <c r="U31" s="1">
        <f t="shared" si="8"/>
        <v>0.15939000053934529</v>
      </c>
    </row>
    <row r="32" spans="1:25" x14ac:dyDescent="0.25">
      <c r="A32" t="s">
        <v>3</v>
      </c>
      <c r="B32">
        <v>1.7197</v>
      </c>
      <c r="C32">
        <v>1.4832799999999999</v>
      </c>
      <c r="D32">
        <f t="shared" si="9"/>
        <v>0.23642000000000007</v>
      </c>
      <c r="E32" s="1">
        <f t="shared" si="10"/>
        <v>0.15939000053934529</v>
      </c>
      <c r="I32" t="s">
        <v>3</v>
      </c>
      <c r="J32" s="1">
        <f t="shared" si="11"/>
        <v>0.15939000053934529</v>
      </c>
      <c r="K32" s="1">
        <f t="shared" si="12"/>
        <v>3.2091041475648625E-2</v>
      </c>
      <c r="U32" s="1">
        <f t="shared" si="8"/>
        <v>9.3467904933353302E-2</v>
      </c>
    </row>
    <row r="33" spans="1:21" x14ac:dyDescent="0.25">
      <c r="A33" t="s">
        <v>4</v>
      </c>
      <c r="B33">
        <v>1.6825300000000001</v>
      </c>
      <c r="C33">
        <v>1.53871</v>
      </c>
      <c r="D33">
        <f t="shared" si="9"/>
        <v>0.14382000000000006</v>
      </c>
      <c r="E33" s="1">
        <f t="shared" si="10"/>
        <v>9.3467904933353302E-2</v>
      </c>
      <c r="I33" t="s">
        <v>4</v>
      </c>
      <c r="J33" s="1">
        <f t="shared" si="11"/>
        <v>9.3467904933353302E-2</v>
      </c>
      <c r="K33" s="1">
        <f t="shared" si="12"/>
        <v>8.6890967108811876E-2</v>
      </c>
      <c r="U33" s="1">
        <f t="shared" si="8"/>
        <v>7.9495660166085169E-2</v>
      </c>
    </row>
    <row r="34" spans="1:21" x14ac:dyDescent="0.25">
      <c r="A34" t="s">
        <v>5</v>
      </c>
      <c r="B34">
        <v>1.66781</v>
      </c>
      <c r="C34">
        <v>1.5449900000000001</v>
      </c>
      <c r="D34">
        <f t="shared" si="9"/>
        <v>0.12281999999999993</v>
      </c>
      <c r="E34" s="1">
        <f t="shared" si="10"/>
        <v>7.9495660166085169E-2</v>
      </c>
      <c r="I34" t="s">
        <v>5</v>
      </c>
      <c r="J34" s="1">
        <f t="shared" si="11"/>
        <v>7.9495660166085169E-2</v>
      </c>
      <c r="K34" s="1">
        <f t="shared" si="12"/>
        <v>0.14339898640120641</v>
      </c>
      <c r="U34" s="1">
        <f t="shared" si="8"/>
        <v>0.16213820454903599</v>
      </c>
    </row>
    <row r="35" spans="1:21" x14ac:dyDescent="0.25">
      <c r="A35" t="s">
        <v>6</v>
      </c>
      <c r="B35">
        <v>1.76989</v>
      </c>
      <c r="C35">
        <v>1.5229600000000001</v>
      </c>
      <c r="D35">
        <f t="shared" si="9"/>
        <v>0.24692999999999987</v>
      </c>
      <c r="E35" s="1">
        <f t="shared" si="10"/>
        <v>0.16213820454903599</v>
      </c>
      <c r="I35" t="s">
        <v>6</v>
      </c>
      <c r="J35" s="1">
        <f t="shared" si="11"/>
        <v>0.16213820454903599</v>
      </c>
      <c r="K35" s="1">
        <f t="shared" si="12"/>
        <v>9.9451068970951254E-2</v>
      </c>
      <c r="U35" s="1">
        <f t="shared" si="8"/>
        <v>0.13983640565096367</v>
      </c>
    </row>
    <row r="36" spans="1:21" x14ac:dyDescent="0.25">
      <c r="A36" t="s">
        <v>7</v>
      </c>
      <c r="B36">
        <v>1.7362899999999999</v>
      </c>
      <c r="C36">
        <v>1.52328</v>
      </c>
      <c r="D36">
        <f t="shared" si="9"/>
        <v>0.21300999999999992</v>
      </c>
      <c r="E36" s="1">
        <f t="shared" si="10"/>
        <v>0.13983640565096367</v>
      </c>
      <c r="I36" t="s">
        <v>7</v>
      </c>
      <c r="J36" s="1">
        <f t="shared" si="11"/>
        <v>0.13983640565096367</v>
      </c>
      <c r="K36" s="1">
        <f t="shared" si="12"/>
        <v>0.1365014967701276</v>
      </c>
      <c r="U36" s="1">
        <f t="shared" si="8"/>
        <v>0.18198793450157985</v>
      </c>
    </row>
    <row r="37" spans="1:21" x14ac:dyDescent="0.25">
      <c r="A37" t="s">
        <v>8</v>
      </c>
      <c r="B37">
        <v>1.7280899999999999</v>
      </c>
      <c r="C37">
        <v>1.4620200000000001</v>
      </c>
      <c r="D37">
        <f t="shared" si="9"/>
        <v>0.26606999999999981</v>
      </c>
      <c r="E37" s="1">
        <f t="shared" si="10"/>
        <v>0.18198793450157985</v>
      </c>
      <c r="I37" t="s">
        <v>8</v>
      </c>
      <c r="J37" s="1">
        <f t="shared" si="11"/>
        <v>0.18198793450157985</v>
      </c>
      <c r="K37" s="1">
        <f t="shared" si="12"/>
        <v>0.1382265632481087</v>
      </c>
      <c r="U37" s="1">
        <f t="shared" si="8"/>
        <v>0.1006256615164932</v>
      </c>
    </row>
    <row r="38" spans="1:21" x14ac:dyDescent="0.25">
      <c r="A38" t="s">
        <v>9</v>
      </c>
      <c r="B38">
        <v>1.7573799999999999</v>
      </c>
      <c r="C38">
        <v>1.5967100000000001</v>
      </c>
      <c r="D38">
        <f t="shared" si="9"/>
        <v>0.16066999999999987</v>
      </c>
      <c r="E38" s="1">
        <f t="shared" si="10"/>
        <v>0.1006256615164932</v>
      </c>
      <c r="I38" t="s">
        <v>9</v>
      </c>
      <c r="J38" s="1">
        <f t="shared" si="11"/>
        <v>0.1006256615164932</v>
      </c>
      <c r="K38" s="1">
        <f t="shared" si="12"/>
        <v>6.3912670428568727E-2</v>
      </c>
      <c r="U38" s="1">
        <f t="shared" si="8"/>
        <v>0.1088444720556259</v>
      </c>
    </row>
    <row r="39" spans="1:21" x14ac:dyDescent="0.25">
      <c r="A39" t="s">
        <v>10</v>
      </c>
      <c r="B39">
        <v>1.85625</v>
      </c>
      <c r="C39">
        <v>1.67404</v>
      </c>
      <c r="D39">
        <f t="shared" si="9"/>
        <v>0.18220999999999998</v>
      </c>
      <c r="E39" s="1">
        <f t="shared" si="10"/>
        <v>0.1088444720556259</v>
      </c>
      <c r="I39" t="s">
        <v>10</v>
      </c>
      <c r="J39" s="1">
        <f t="shared" si="11"/>
        <v>0.1088444720556259</v>
      </c>
      <c r="K39" s="1">
        <f t="shared" si="12"/>
        <v>2.6761606652171031E-3</v>
      </c>
      <c r="U39" s="1">
        <f t="shared" si="8"/>
        <v>0.34504793551847285</v>
      </c>
    </row>
    <row r="40" spans="1:21" x14ac:dyDescent="0.25">
      <c r="A40" t="s">
        <v>11</v>
      </c>
      <c r="B40">
        <v>7.0471500000000002</v>
      </c>
      <c r="C40">
        <v>5.2393299999999998</v>
      </c>
      <c r="D40">
        <f t="shared" si="9"/>
        <v>1.8078200000000004</v>
      </c>
      <c r="E40" s="1">
        <f t="shared" si="10"/>
        <v>0.34504793551847285</v>
      </c>
      <c r="I40" t="s">
        <v>11</v>
      </c>
      <c r="J40" s="1">
        <f t="shared" si="11"/>
        <v>0.34504793551847285</v>
      </c>
      <c r="K40" s="1">
        <f t="shared" si="12"/>
        <v>0.3310270588033204</v>
      </c>
      <c r="U40" s="1">
        <f t="shared" ref="U40:U49" si="13">K31</f>
        <v>9.5391182191484791E-2</v>
      </c>
    </row>
    <row r="41" spans="1:21" x14ac:dyDescent="0.25">
      <c r="U41" s="1">
        <f t="shared" si="13"/>
        <v>3.2091041475648625E-2</v>
      </c>
    </row>
    <row r="42" spans="1:21" x14ac:dyDescent="0.25">
      <c r="U42" s="1">
        <f t="shared" si="13"/>
        <v>8.6890967108811876E-2</v>
      </c>
    </row>
    <row r="43" spans="1:21" x14ac:dyDescent="0.25">
      <c r="A43" t="s">
        <v>1</v>
      </c>
      <c r="B43" t="s">
        <v>14</v>
      </c>
      <c r="C43" t="s">
        <v>13</v>
      </c>
      <c r="I43" t="s">
        <v>19</v>
      </c>
      <c r="J43" s="2">
        <f>AVERAGE(J31:J40)</f>
        <v>0.14865206393401836</v>
      </c>
      <c r="K43" s="2">
        <f>AVERAGE(K31:K40)</f>
        <v>0.11295671960634454</v>
      </c>
      <c r="U43" s="1">
        <f t="shared" si="13"/>
        <v>0.14339898640120641</v>
      </c>
    </row>
    <row r="44" spans="1:21" x14ac:dyDescent="0.25">
      <c r="A44" t="s">
        <v>2</v>
      </c>
      <c r="B44">
        <v>1.62188</v>
      </c>
      <c r="C44">
        <v>1.48064</v>
      </c>
      <c r="D44">
        <f t="shared" ref="D44:D53" si="14">B44-C44</f>
        <v>0.14124000000000003</v>
      </c>
      <c r="E44" s="1">
        <f t="shared" ref="E44:E53" si="15">D44/C44</f>
        <v>9.5391182191484791E-2</v>
      </c>
      <c r="N44" t="s">
        <v>20</v>
      </c>
      <c r="O44" s="2">
        <f>MIN(U30:U49)</f>
        <v>2.6761606652171031E-3</v>
      </c>
      <c r="U44" s="1">
        <f t="shared" si="13"/>
        <v>9.9451068970951254E-2</v>
      </c>
    </row>
    <row r="45" spans="1:21" x14ac:dyDescent="0.25">
      <c r="A45" t="s">
        <v>3</v>
      </c>
      <c r="B45">
        <v>1.53088</v>
      </c>
      <c r="C45">
        <v>1.4832799999999999</v>
      </c>
      <c r="D45">
        <f t="shared" si="14"/>
        <v>4.7600000000000087E-2</v>
      </c>
      <c r="E45" s="1">
        <f t="shared" si="15"/>
        <v>3.2091041475648625E-2</v>
      </c>
      <c r="N45" t="s">
        <v>21</v>
      </c>
      <c r="O45" s="2">
        <f>MAX(U30:U49)</f>
        <v>0.34504793551847285</v>
      </c>
      <c r="U45" s="1">
        <f t="shared" si="13"/>
        <v>0.1365014967701276</v>
      </c>
    </row>
    <row r="46" spans="1:21" x14ac:dyDescent="0.25">
      <c r="A46" t="s">
        <v>4</v>
      </c>
      <c r="B46">
        <v>1.67241</v>
      </c>
      <c r="C46">
        <v>1.53871</v>
      </c>
      <c r="D46">
        <f t="shared" si="14"/>
        <v>0.13369999999999993</v>
      </c>
      <c r="E46" s="1">
        <f t="shared" si="15"/>
        <v>8.6890967108811876E-2</v>
      </c>
      <c r="N46" t="s">
        <v>22</v>
      </c>
      <c r="O46" s="2">
        <f>AVERAGE(U30:U49)</f>
        <v>0.13080439177018147</v>
      </c>
      <c r="U46" s="1">
        <f t="shared" si="13"/>
        <v>0.1382265632481087</v>
      </c>
    </row>
    <row r="47" spans="1:21" x14ac:dyDescent="0.25">
      <c r="A47" t="s">
        <v>5</v>
      </c>
      <c r="B47">
        <v>1.76654</v>
      </c>
      <c r="C47">
        <v>1.5449900000000001</v>
      </c>
      <c r="D47">
        <f t="shared" si="14"/>
        <v>0.22154999999999991</v>
      </c>
      <c r="E47" s="1">
        <f t="shared" si="15"/>
        <v>0.14339898640120641</v>
      </c>
      <c r="U47" s="1">
        <f t="shared" si="13"/>
        <v>6.3912670428568727E-2</v>
      </c>
    </row>
    <row r="48" spans="1:21" x14ac:dyDescent="0.25">
      <c r="A48" t="s">
        <v>6</v>
      </c>
      <c r="B48">
        <v>1.67442</v>
      </c>
      <c r="C48">
        <v>1.5229600000000001</v>
      </c>
      <c r="D48">
        <f t="shared" si="14"/>
        <v>0.15145999999999993</v>
      </c>
      <c r="E48" s="1">
        <f t="shared" si="15"/>
        <v>9.9451068970951254E-2</v>
      </c>
      <c r="U48" s="1">
        <f t="shared" si="13"/>
        <v>2.6761606652171031E-3</v>
      </c>
    </row>
    <row r="49" spans="1:25" x14ac:dyDescent="0.25">
      <c r="A49" t="s">
        <v>7</v>
      </c>
      <c r="B49">
        <v>1.7312099999999999</v>
      </c>
      <c r="C49">
        <v>1.52328</v>
      </c>
      <c r="D49">
        <f t="shared" si="14"/>
        <v>0.20792999999999995</v>
      </c>
      <c r="E49" s="1">
        <f t="shared" si="15"/>
        <v>0.1365014967701276</v>
      </c>
      <c r="U49" s="1">
        <f t="shared" si="13"/>
        <v>0.3310270588033204</v>
      </c>
    </row>
    <row r="50" spans="1:25" x14ac:dyDescent="0.25">
      <c r="A50" t="s">
        <v>8</v>
      </c>
      <c r="B50">
        <v>1.66411</v>
      </c>
      <c r="C50">
        <v>1.4620200000000001</v>
      </c>
      <c r="D50">
        <f t="shared" si="14"/>
        <v>0.20208999999999988</v>
      </c>
      <c r="E50" s="1">
        <f t="shared" si="15"/>
        <v>0.1382265632481087</v>
      </c>
    </row>
    <row r="51" spans="1:25" x14ac:dyDescent="0.25">
      <c r="A51" t="s">
        <v>9</v>
      </c>
      <c r="B51">
        <v>1.69876</v>
      </c>
      <c r="C51">
        <v>1.5967100000000001</v>
      </c>
      <c r="D51">
        <f t="shared" si="14"/>
        <v>0.10204999999999997</v>
      </c>
      <c r="E51" s="1">
        <f t="shared" si="15"/>
        <v>6.3912670428568727E-2</v>
      </c>
    </row>
    <row r="52" spans="1:25" x14ac:dyDescent="0.25">
      <c r="A52" t="s">
        <v>10</v>
      </c>
      <c r="B52">
        <v>1.67852</v>
      </c>
      <c r="C52">
        <v>1.67404</v>
      </c>
      <c r="D52">
        <f t="shared" si="14"/>
        <v>4.4800000000000395E-3</v>
      </c>
      <c r="E52" s="1">
        <f t="shared" si="15"/>
        <v>2.6761606652171031E-3</v>
      </c>
    </row>
    <row r="53" spans="1:25" x14ac:dyDescent="0.25">
      <c r="A53" t="s">
        <v>11</v>
      </c>
      <c r="B53">
        <v>6.9736900000000004</v>
      </c>
      <c r="C53">
        <v>5.2393299999999998</v>
      </c>
      <c r="D53">
        <f t="shared" si="14"/>
        <v>1.7343600000000006</v>
      </c>
      <c r="E53" s="1">
        <f t="shared" si="15"/>
        <v>0.3310270588033204</v>
      </c>
    </row>
    <row r="55" spans="1:25" x14ac:dyDescent="0.25">
      <c r="A55" s="6" t="s">
        <v>28</v>
      </c>
      <c r="B55" s="6"/>
    </row>
    <row r="57" spans="1:25" x14ac:dyDescent="0.25">
      <c r="A57" t="s">
        <v>1</v>
      </c>
      <c r="B57" t="s">
        <v>12</v>
      </c>
      <c r="C57" t="s">
        <v>13</v>
      </c>
      <c r="E57" t="s">
        <v>15</v>
      </c>
      <c r="I57" t="s">
        <v>16</v>
      </c>
      <c r="J57" t="s">
        <v>17</v>
      </c>
      <c r="K57" t="s">
        <v>18</v>
      </c>
      <c r="U57" s="1">
        <f t="shared" ref="U57:U66" si="16">J58</f>
        <v>2.7772846742864645E-2</v>
      </c>
      <c r="W57" s="2">
        <f>O71</f>
        <v>1.8515950911608549E-2</v>
      </c>
      <c r="X57" s="2">
        <f>O72</f>
        <v>0.19842961601230741</v>
      </c>
      <c r="Y57" s="2">
        <f>O73</f>
        <v>4.0918339007903884E-2</v>
      </c>
    </row>
    <row r="58" spans="1:25" x14ac:dyDescent="0.25">
      <c r="A58" t="s">
        <v>2</v>
      </c>
      <c r="B58">
        <v>1.08984432501899</v>
      </c>
      <c r="C58">
        <v>1.0603941605120599</v>
      </c>
      <c r="D58">
        <f t="shared" ref="D58:D67" si="17">B58-C58</f>
        <v>2.9450164506930054E-2</v>
      </c>
      <c r="E58" s="1">
        <f t="shared" ref="E58:E67" si="18">D58/C58</f>
        <v>2.7772846742864645E-2</v>
      </c>
      <c r="I58" t="s">
        <v>2</v>
      </c>
      <c r="J58" s="1">
        <f t="shared" ref="J58:J67" si="19">E58</f>
        <v>2.7772846742864645E-2</v>
      </c>
      <c r="K58" s="1">
        <f t="shared" ref="K58:K67" si="20">E71</f>
        <v>2.1753625387611525E-2</v>
      </c>
      <c r="U58" s="1">
        <f t="shared" si="16"/>
        <v>2.4285729988605963E-2</v>
      </c>
    </row>
    <row r="59" spans="1:25" x14ac:dyDescent="0.25">
      <c r="A59" t="s">
        <v>3</v>
      </c>
      <c r="B59">
        <v>1.0891747163969701</v>
      </c>
      <c r="C59">
        <v>1.0633504739044699</v>
      </c>
      <c r="D59">
        <f t="shared" si="17"/>
        <v>2.5824242492500149E-2</v>
      </c>
      <c r="E59" s="1">
        <f t="shared" si="18"/>
        <v>2.4285729988605963E-2</v>
      </c>
      <c r="I59" t="s">
        <v>3</v>
      </c>
      <c r="J59" s="1">
        <f t="shared" si="19"/>
        <v>2.4285729988605963E-2</v>
      </c>
      <c r="K59" s="1">
        <f t="shared" si="20"/>
        <v>2.7833773618385724E-2</v>
      </c>
      <c r="U59" s="1">
        <f t="shared" si="16"/>
        <v>2.5414202718229372E-2</v>
      </c>
    </row>
    <row r="60" spans="1:25" x14ac:dyDescent="0.25">
      <c r="A60" t="s">
        <v>4</v>
      </c>
      <c r="B60">
        <v>1.09567351071907</v>
      </c>
      <c r="C60">
        <v>1.0685179782126999</v>
      </c>
      <c r="D60">
        <f t="shared" si="17"/>
        <v>2.715553250637015E-2</v>
      </c>
      <c r="E60" s="1">
        <f t="shared" si="18"/>
        <v>2.5414202718229372E-2</v>
      </c>
      <c r="I60" t="s">
        <v>4</v>
      </c>
      <c r="J60" s="1">
        <f t="shared" si="19"/>
        <v>2.5414202718229372E-2</v>
      </c>
      <c r="K60" s="1">
        <f t="shared" si="20"/>
        <v>3.0554874451940207E-2</v>
      </c>
      <c r="U60" s="1">
        <f t="shared" si="16"/>
        <v>2.5993735899142216E-2</v>
      </c>
    </row>
    <row r="61" spans="1:25" x14ac:dyDescent="0.25">
      <c r="A61" t="s">
        <v>5</v>
      </c>
      <c r="B61">
        <v>1.10007230854605</v>
      </c>
      <c r="C61">
        <v>1.0722017786804401</v>
      </c>
      <c r="D61">
        <f t="shared" si="17"/>
        <v>2.7870529865609894E-2</v>
      </c>
      <c r="E61" s="1">
        <f t="shared" si="18"/>
        <v>2.5993735899142216E-2</v>
      </c>
      <c r="I61" t="s">
        <v>5</v>
      </c>
      <c r="J61" s="1">
        <f t="shared" si="19"/>
        <v>2.5993735899142216E-2</v>
      </c>
      <c r="K61" s="1">
        <f t="shared" si="20"/>
        <v>2.9045062886256995E-2</v>
      </c>
      <c r="U61" s="1">
        <f t="shared" si="16"/>
        <v>2.6204525750250958E-2</v>
      </c>
    </row>
    <row r="62" spans="1:25" x14ac:dyDescent="0.25">
      <c r="A62" t="s">
        <v>6</v>
      </c>
      <c r="B62">
        <v>1.1027148589286699</v>
      </c>
      <c r="C62">
        <v>1.0745566125061501</v>
      </c>
      <c r="D62">
        <f t="shared" si="17"/>
        <v>2.815824642251985E-2</v>
      </c>
      <c r="E62" s="1">
        <f t="shared" si="18"/>
        <v>2.6204525750250958E-2</v>
      </c>
      <c r="I62" t="s">
        <v>6</v>
      </c>
      <c r="J62" s="1">
        <f t="shared" si="19"/>
        <v>2.6204525750250958E-2</v>
      </c>
      <c r="K62" s="1">
        <f t="shared" si="20"/>
        <v>2.6895194091492786E-2</v>
      </c>
      <c r="U62" s="1">
        <f t="shared" si="16"/>
        <v>1.8515950911608549E-2</v>
      </c>
    </row>
    <row r="63" spans="1:25" x14ac:dyDescent="0.25">
      <c r="A63" t="s">
        <v>7</v>
      </c>
      <c r="B63">
        <v>1.1001121222034</v>
      </c>
      <c r="C63">
        <v>1.08011280649926</v>
      </c>
      <c r="D63">
        <f t="shared" si="17"/>
        <v>1.9999315704140042E-2</v>
      </c>
      <c r="E63" s="1">
        <f t="shared" si="18"/>
        <v>1.8515950911608549E-2</v>
      </c>
      <c r="I63" t="s">
        <v>7</v>
      </c>
      <c r="J63" s="1">
        <f t="shared" si="19"/>
        <v>1.8515950911608549E-2</v>
      </c>
      <c r="K63" s="1">
        <f t="shared" si="20"/>
        <v>2.5898400437416938E-2</v>
      </c>
      <c r="U63" s="1">
        <f t="shared" si="16"/>
        <v>2.2453933678906829E-2</v>
      </c>
    </row>
    <row r="64" spans="1:25" x14ac:dyDescent="0.25">
      <c r="A64" t="s">
        <v>8</v>
      </c>
      <c r="B64">
        <v>1.11044382112396</v>
      </c>
      <c r="C64">
        <v>1.08605755677271</v>
      </c>
      <c r="D64">
        <f t="shared" si="17"/>
        <v>2.438626435125002E-2</v>
      </c>
      <c r="E64" s="1">
        <f t="shared" si="18"/>
        <v>2.2453933678906829E-2</v>
      </c>
      <c r="I64" t="s">
        <v>8</v>
      </c>
      <c r="J64" s="1">
        <f t="shared" si="19"/>
        <v>2.2453933678906829E-2</v>
      </c>
      <c r="K64" s="1">
        <f t="shared" si="20"/>
        <v>2.4228891507226926E-2</v>
      </c>
      <c r="U64" s="1">
        <f t="shared" si="16"/>
        <v>2.0158355414207258E-2</v>
      </c>
    </row>
    <row r="65" spans="1:21" x14ac:dyDescent="0.25">
      <c r="A65" t="s">
        <v>9</v>
      </c>
      <c r="B65">
        <v>1.1289744517787199</v>
      </c>
      <c r="C65">
        <v>1.10666588749384</v>
      </c>
      <c r="D65">
        <f t="shared" si="17"/>
        <v>2.2308564284879928E-2</v>
      </c>
      <c r="E65" s="1">
        <f t="shared" si="18"/>
        <v>2.0158355414207258E-2</v>
      </c>
      <c r="I65" t="s">
        <v>9</v>
      </c>
      <c r="J65" s="1">
        <f t="shared" si="19"/>
        <v>2.0158355414207258E-2</v>
      </c>
      <c r="K65" s="1">
        <f t="shared" si="20"/>
        <v>2.338851045903784E-2</v>
      </c>
      <c r="U65" s="1">
        <f t="shared" si="16"/>
        <v>1.8961940449622256E-2</v>
      </c>
    </row>
    <row r="66" spans="1:21" x14ac:dyDescent="0.25">
      <c r="A66" t="s">
        <v>10</v>
      </c>
      <c r="B66">
        <v>1.16460373152636</v>
      </c>
      <c r="C66">
        <v>1.14293153188084</v>
      </c>
      <c r="D66">
        <f t="shared" si="17"/>
        <v>2.1672199645520029E-2</v>
      </c>
      <c r="E66" s="1">
        <f t="shared" si="18"/>
        <v>1.8961940449622256E-2</v>
      </c>
      <c r="I66" t="s">
        <v>10</v>
      </c>
      <c r="J66" s="1">
        <f t="shared" si="19"/>
        <v>1.8961940449622256E-2</v>
      </c>
      <c r="K66" s="1">
        <f t="shared" si="20"/>
        <v>1.8976418336913332E-2</v>
      </c>
      <c r="U66" s="1">
        <f t="shared" si="16"/>
        <v>0.18160119141604977</v>
      </c>
    </row>
    <row r="67" spans="1:21" x14ac:dyDescent="0.25">
      <c r="A67" t="s">
        <v>11</v>
      </c>
      <c r="B67">
        <v>2.0668038723056199</v>
      </c>
      <c r="C67">
        <v>1.7491552033971201</v>
      </c>
      <c r="D67">
        <f t="shared" si="17"/>
        <v>0.31764866890849985</v>
      </c>
      <c r="E67" s="1">
        <f t="shared" si="18"/>
        <v>0.18160119141604977</v>
      </c>
      <c r="I67" t="s">
        <v>11</v>
      </c>
      <c r="J67" s="1">
        <f t="shared" si="19"/>
        <v>0.18160119141604977</v>
      </c>
      <c r="K67" s="1">
        <f t="shared" si="20"/>
        <v>0.19842961601230741</v>
      </c>
      <c r="U67" s="1">
        <f t="shared" ref="U67:U76" si="21">K58</f>
        <v>2.1753625387611525E-2</v>
      </c>
    </row>
    <row r="68" spans="1:21" x14ac:dyDescent="0.25">
      <c r="U68" s="1">
        <f t="shared" si="21"/>
        <v>2.7833773618385724E-2</v>
      </c>
    </row>
    <row r="69" spans="1:21" x14ac:dyDescent="0.25">
      <c r="U69" s="1">
        <f t="shared" si="21"/>
        <v>3.0554874451940207E-2</v>
      </c>
    </row>
    <row r="70" spans="1:21" x14ac:dyDescent="0.25">
      <c r="A70" t="s">
        <v>1</v>
      </c>
      <c r="B70" t="s">
        <v>14</v>
      </c>
      <c r="C70" t="s">
        <v>13</v>
      </c>
      <c r="I70" t="s">
        <v>19</v>
      </c>
      <c r="J70" s="2">
        <f>AVERAGE(J58:J67)</f>
        <v>3.913624129694878E-2</v>
      </c>
      <c r="K70" s="2">
        <f>AVERAGE(K58:K67)</f>
        <v>4.2700436718858967E-2</v>
      </c>
      <c r="U70" s="1">
        <f t="shared" si="21"/>
        <v>2.9045062886256995E-2</v>
      </c>
    </row>
    <row r="71" spans="1:21" x14ac:dyDescent="0.25">
      <c r="A71" t="s">
        <v>2</v>
      </c>
      <c r="B71">
        <v>1.0834615778430501</v>
      </c>
      <c r="C71">
        <v>1.0603941605120599</v>
      </c>
      <c r="D71">
        <f t="shared" ref="D71:D80" si="22">B71-C71</f>
        <v>2.3067417330990159E-2</v>
      </c>
      <c r="E71" s="1">
        <f t="shared" ref="E71:E80" si="23">D71/C71</f>
        <v>2.1753625387611525E-2</v>
      </c>
      <c r="N71" t="s">
        <v>20</v>
      </c>
      <c r="O71" s="2">
        <f>MIN(U57:U76)</f>
        <v>1.8515950911608549E-2</v>
      </c>
      <c r="U71" s="1">
        <f t="shared" si="21"/>
        <v>2.6895194091492786E-2</v>
      </c>
    </row>
    <row r="72" spans="1:21" x14ac:dyDescent="0.25">
      <c r="A72" t="s">
        <v>3</v>
      </c>
      <c r="B72">
        <v>1.0929475302721301</v>
      </c>
      <c r="C72">
        <v>1.0633504739044699</v>
      </c>
      <c r="D72">
        <f t="shared" si="22"/>
        <v>2.9597056367660191E-2</v>
      </c>
      <c r="E72" s="1">
        <f t="shared" si="23"/>
        <v>2.7833773618385724E-2</v>
      </c>
      <c r="N72" t="s">
        <v>21</v>
      </c>
      <c r="O72" s="2">
        <f>MAX(U57:U76)</f>
        <v>0.19842961601230741</v>
      </c>
      <c r="U72" s="1">
        <f t="shared" si="21"/>
        <v>2.5898400437416938E-2</v>
      </c>
    </row>
    <row r="73" spans="1:21" x14ac:dyDescent="0.25">
      <c r="A73" t="s">
        <v>4</v>
      </c>
      <c r="B73">
        <v>1.1011664108866299</v>
      </c>
      <c r="C73">
        <v>1.0685179782126999</v>
      </c>
      <c r="D73">
        <f t="shared" si="22"/>
        <v>3.2648432673930028E-2</v>
      </c>
      <c r="E73" s="1">
        <f t="shared" si="23"/>
        <v>3.0554874451940207E-2</v>
      </c>
      <c r="N73" t="s">
        <v>22</v>
      </c>
      <c r="O73" s="2">
        <f>AVERAGE(U57:U76)</f>
        <v>4.0918339007903884E-2</v>
      </c>
      <c r="U73" s="1">
        <f t="shared" si="21"/>
        <v>2.4228891507226926E-2</v>
      </c>
    </row>
    <row r="74" spans="1:21" x14ac:dyDescent="0.25">
      <c r="A74" t="s">
        <v>5</v>
      </c>
      <c r="B74">
        <v>1.1033439467689701</v>
      </c>
      <c r="C74">
        <v>1.0722017786804401</v>
      </c>
      <c r="D74">
        <f t="shared" si="22"/>
        <v>3.1142168088529987E-2</v>
      </c>
      <c r="E74" s="1">
        <f t="shared" si="23"/>
        <v>2.9045062886256995E-2</v>
      </c>
      <c r="U74" s="1">
        <f t="shared" si="21"/>
        <v>2.338851045903784E-2</v>
      </c>
    </row>
    <row r="75" spans="1:21" x14ac:dyDescent="0.25">
      <c r="A75" t="s">
        <v>6</v>
      </c>
      <c r="B75">
        <v>1.1034570211618</v>
      </c>
      <c r="C75">
        <v>1.0745566125061501</v>
      </c>
      <c r="D75">
        <f t="shared" si="22"/>
        <v>2.8900408655649912E-2</v>
      </c>
      <c r="E75" s="1">
        <f t="shared" si="23"/>
        <v>2.6895194091492786E-2</v>
      </c>
      <c r="U75" s="1">
        <f t="shared" si="21"/>
        <v>1.8976418336913332E-2</v>
      </c>
    </row>
    <row r="76" spans="1:21" x14ac:dyDescent="0.25">
      <c r="A76" t="s">
        <v>7</v>
      </c>
      <c r="B76">
        <v>1.1080860004795601</v>
      </c>
      <c r="C76">
        <v>1.08011280649926</v>
      </c>
      <c r="D76">
        <f t="shared" si="22"/>
        <v>2.7973193980300071E-2</v>
      </c>
      <c r="E76" s="1">
        <f t="shared" si="23"/>
        <v>2.5898400437416938E-2</v>
      </c>
      <c r="U76" s="1">
        <f t="shared" si="21"/>
        <v>0.19842961601230741</v>
      </c>
    </row>
    <row r="77" spans="1:21" x14ac:dyDescent="0.25">
      <c r="A77" t="s">
        <v>8</v>
      </c>
      <c r="B77">
        <v>1.1123715274863599</v>
      </c>
      <c r="C77">
        <v>1.08605755677271</v>
      </c>
      <c r="D77">
        <f t="shared" si="22"/>
        <v>2.6313970713649937E-2</v>
      </c>
      <c r="E77" s="1">
        <f t="shared" si="23"/>
        <v>2.4228891507226926E-2</v>
      </c>
    </row>
    <row r="78" spans="1:21" x14ac:dyDescent="0.25">
      <c r="A78" t="s">
        <v>9</v>
      </c>
      <c r="B78">
        <v>1.1325491541781501</v>
      </c>
      <c r="C78">
        <v>1.10666588749384</v>
      </c>
      <c r="D78">
        <f t="shared" si="22"/>
        <v>2.5883266684310069E-2</v>
      </c>
      <c r="E78" s="1">
        <f t="shared" si="23"/>
        <v>2.338851045903784E-2</v>
      </c>
    </row>
    <row r="79" spans="1:21" x14ac:dyDescent="0.25">
      <c r="A79" t="s">
        <v>10</v>
      </c>
      <c r="B79">
        <v>1.16462027876026</v>
      </c>
      <c r="C79">
        <v>1.14293153188084</v>
      </c>
      <c r="D79">
        <f t="shared" si="22"/>
        <v>2.1688746879420018E-2</v>
      </c>
      <c r="E79" s="1">
        <f t="shared" si="23"/>
        <v>1.8976418336913332E-2</v>
      </c>
    </row>
    <row r="80" spans="1:21" x14ac:dyDescent="0.25">
      <c r="A80" t="s">
        <v>11</v>
      </c>
      <c r="B80">
        <v>2.09623939875314</v>
      </c>
      <c r="C80">
        <v>1.7491552033971201</v>
      </c>
      <c r="D80">
        <f t="shared" si="22"/>
        <v>0.34708419535601998</v>
      </c>
      <c r="E80" s="1">
        <f t="shared" si="23"/>
        <v>0.19842961601230741</v>
      </c>
    </row>
    <row r="82" spans="1:25" x14ac:dyDescent="0.25">
      <c r="A82" s="6" t="s">
        <v>29</v>
      </c>
      <c r="B82" s="6"/>
    </row>
    <row r="84" spans="1:25" x14ac:dyDescent="0.25">
      <c r="A84" t="s">
        <v>1</v>
      </c>
      <c r="B84" t="s">
        <v>12</v>
      </c>
      <c r="C84" t="s">
        <v>13</v>
      </c>
      <c r="E84" t="s">
        <v>15</v>
      </c>
      <c r="I84" t="s">
        <v>16</v>
      </c>
      <c r="J84" t="s">
        <v>17</v>
      </c>
      <c r="K84" t="s">
        <v>18</v>
      </c>
      <c r="U84" s="1">
        <f t="shared" ref="U84:U93" si="24">J85</f>
        <v>0.34083502373999663</v>
      </c>
      <c r="W84" s="2">
        <f>O98</f>
        <v>0.21550872926556891</v>
      </c>
      <c r="X84" s="2">
        <f>O99</f>
        <v>0.41241939425842711</v>
      </c>
      <c r="Y84" s="2">
        <f>O100</f>
        <v>0.32193929951823214</v>
      </c>
    </row>
    <row r="85" spans="1:25" x14ac:dyDescent="0.25">
      <c r="A85" t="s">
        <v>2</v>
      </c>
      <c r="B85">
        <v>3.0075599999999998</v>
      </c>
      <c r="C85">
        <v>2.2430500000000002</v>
      </c>
      <c r="D85">
        <f t="shared" ref="D85:D94" si="25">B85-C85</f>
        <v>0.76450999999999958</v>
      </c>
      <c r="E85" s="1">
        <f t="shared" ref="E85:E94" si="26">D85/C85</f>
        <v>0.34083502373999663</v>
      </c>
      <c r="I85" t="s">
        <v>2</v>
      </c>
      <c r="J85" s="1">
        <f t="shared" ref="J85:J94" si="27">E85</f>
        <v>0.34083502373999663</v>
      </c>
      <c r="K85" s="1">
        <f t="shared" ref="K85:K94" si="28">E98</f>
        <v>0.3359309868259735</v>
      </c>
      <c r="U85" s="1">
        <f t="shared" si="24"/>
        <v>0.34968791712883751</v>
      </c>
    </row>
    <row r="86" spans="1:25" x14ac:dyDescent="0.25">
      <c r="A86" t="s">
        <v>3</v>
      </c>
      <c r="B86">
        <v>2.8716499999999998</v>
      </c>
      <c r="C86">
        <v>2.12764</v>
      </c>
      <c r="D86">
        <f t="shared" si="25"/>
        <v>0.74400999999999984</v>
      </c>
      <c r="E86" s="1">
        <f t="shared" si="26"/>
        <v>0.34968791712883751</v>
      </c>
      <c r="I86" t="s">
        <v>3</v>
      </c>
      <c r="J86" s="1">
        <f t="shared" si="27"/>
        <v>0.34968791712883751</v>
      </c>
      <c r="K86" s="1">
        <f t="shared" si="28"/>
        <v>0.41241939425842711</v>
      </c>
      <c r="U86" s="1">
        <f t="shared" si="24"/>
        <v>0.34096313778880483</v>
      </c>
    </row>
    <row r="87" spans="1:25" x14ac:dyDescent="0.25">
      <c r="A87" t="s">
        <v>4</v>
      </c>
      <c r="B87">
        <v>2.9942500000000001</v>
      </c>
      <c r="C87">
        <v>2.23291</v>
      </c>
      <c r="D87">
        <f t="shared" si="25"/>
        <v>0.76134000000000013</v>
      </c>
      <c r="E87" s="1">
        <f t="shared" si="26"/>
        <v>0.34096313778880483</v>
      </c>
      <c r="I87" t="s">
        <v>4</v>
      </c>
      <c r="J87" s="1">
        <f t="shared" si="27"/>
        <v>0.34096313778880483</v>
      </c>
      <c r="K87" s="1">
        <f t="shared" si="28"/>
        <v>0.37281395130121692</v>
      </c>
      <c r="U87" s="1">
        <f t="shared" si="24"/>
        <v>0.33510451998230351</v>
      </c>
    </row>
    <row r="88" spans="1:25" x14ac:dyDescent="0.25">
      <c r="A88" t="s">
        <v>5</v>
      </c>
      <c r="B88">
        <v>2.8970699999999998</v>
      </c>
      <c r="C88">
        <v>2.1699199999999998</v>
      </c>
      <c r="D88">
        <f t="shared" si="25"/>
        <v>0.72714999999999996</v>
      </c>
      <c r="E88" s="1">
        <f t="shared" si="26"/>
        <v>0.33510451998230351</v>
      </c>
      <c r="I88" t="s">
        <v>5</v>
      </c>
      <c r="J88" s="1">
        <f t="shared" si="27"/>
        <v>0.33510451998230351</v>
      </c>
      <c r="K88" s="1">
        <f t="shared" si="28"/>
        <v>0.34547356584574568</v>
      </c>
      <c r="U88" s="1">
        <f t="shared" si="24"/>
        <v>0.35881268245292175</v>
      </c>
    </row>
    <row r="89" spans="1:25" x14ac:dyDescent="0.25">
      <c r="A89" t="s">
        <v>6</v>
      </c>
      <c r="B89">
        <v>2.88124</v>
      </c>
      <c r="C89">
        <v>2.1204100000000001</v>
      </c>
      <c r="D89">
        <f t="shared" si="25"/>
        <v>0.7608299999999999</v>
      </c>
      <c r="E89" s="1">
        <f t="shared" si="26"/>
        <v>0.35881268245292175</v>
      </c>
      <c r="I89" t="s">
        <v>6</v>
      </c>
      <c r="J89" s="1">
        <f t="shared" si="27"/>
        <v>0.35881268245292175</v>
      </c>
      <c r="K89" s="1">
        <f t="shared" si="28"/>
        <v>0.38064336614145367</v>
      </c>
      <c r="U89" s="1">
        <f t="shared" si="24"/>
        <v>0.23512729792821702</v>
      </c>
    </row>
    <row r="90" spans="1:25" x14ac:dyDescent="0.25">
      <c r="A90" t="s">
        <v>7</v>
      </c>
      <c r="B90">
        <v>2.7089799999999999</v>
      </c>
      <c r="C90">
        <v>2.1932800000000001</v>
      </c>
      <c r="D90">
        <f t="shared" si="25"/>
        <v>0.51569999999999983</v>
      </c>
      <c r="E90" s="1">
        <f t="shared" si="26"/>
        <v>0.23512729792821702</v>
      </c>
      <c r="I90" t="s">
        <v>7</v>
      </c>
      <c r="J90" s="1">
        <f t="shared" si="27"/>
        <v>0.23512729792821702</v>
      </c>
      <c r="K90" s="1">
        <f t="shared" si="28"/>
        <v>0.34767106798949515</v>
      </c>
      <c r="U90" s="1">
        <f t="shared" si="24"/>
        <v>0.32288580984233156</v>
      </c>
    </row>
    <row r="91" spans="1:25" x14ac:dyDescent="0.25">
      <c r="A91" t="s">
        <v>8</v>
      </c>
      <c r="B91">
        <v>2.9072399999999998</v>
      </c>
      <c r="C91">
        <v>2.1976499999999999</v>
      </c>
      <c r="D91">
        <f t="shared" si="25"/>
        <v>0.70958999999999994</v>
      </c>
      <c r="E91" s="1">
        <f t="shared" si="26"/>
        <v>0.32288580984233156</v>
      </c>
      <c r="I91" t="s">
        <v>8</v>
      </c>
      <c r="J91" s="1">
        <f t="shared" si="27"/>
        <v>0.32288580984233156</v>
      </c>
      <c r="K91" s="1">
        <f t="shared" si="28"/>
        <v>0.31950947603121527</v>
      </c>
      <c r="U91" s="1">
        <f t="shared" si="24"/>
        <v>0.24944700997322369</v>
      </c>
    </row>
    <row r="92" spans="1:25" x14ac:dyDescent="0.25">
      <c r="A92" t="s">
        <v>9</v>
      </c>
      <c r="B92">
        <v>2.8977300000000001</v>
      </c>
      <c r="C92">
        <v>2.31921</v>
      </c>
      <c r="D92">
        <f t="shared" si="25"/>
        <v>0.57852000000000015</v>
      </c>
      <c r="E92" s="1">
        <f t="shared" si="26"/>
        <v>0.24944700997322369</v>
      </c>
      <c r="I92" t="s">
        <v>9</v>
      </c>
      <c r="J92" s="1">
        <f t="shared" si="27"/>
        <v>0.24944700997322369</v>
      </c>
      <c r="K92" s="1">
        <f t="shared" si="28"/>
        <v>0.21550872926556891</v>
      </c>
      <c r="U92" s="1">
        <f t="shared" si="24"/>
        <v>0.25622495771641512</v>
      </c>
    </row>
    <row r="93" spans="1:25" x14ac:dyDescent="0.25">
      <c r="A93" t="s">
        <v>10</v>
      </c>
      <c r="B93">
        <v>2.7778399999999999</v>
      </c>
      <c r="C93">
        <v>2.2112599999999998</v>
      </c>
      <c r="D93">
        <f t="shared" si="25"/>
        <v>0.56658000000000008</v>
      </c>
      <c r="E93" s="1">
        <f t="shared" si="26"/>
        <v>0.25622495771641512</v>
      </c>
      <c r="I93" t="s">
        <v>10</v>
      </c>
      <c r="J93" s="1">
        <f t="shared" si="27"/>
        <v>0.25622495771641512</v>
      </c>
      <c r="K93" s="1">
        <f t="shared" si="28"/>
        <v>0.24045114550075539</v>
      </c>
      <c r="U93" s="1">
        <f t="shared" si="24"/>
        <v>0.32237004852367535</v>
      </c>
    </row>
    <row r="94" spans="1:25" x14ac:dyDescent="0.25">
      <c r="A94" t="s">
        <v>11</v>
      </c>
      <c r="B94">
        <v>8.3391300000000008</v>
      </c>
      <c r="C94">
        <v>6.3061999999999996</v>
      </c>
      <c r="D94">
        <f t="shared" si="25"/>
        <v>2.0329300000000012</v>
      </c>
      <c r="E94" s="1">
        <f t="shared" si="26"/>
        <v>0.32237004852367535</v>
      </c>
      <c r="I94" t="s">
        <v>11</v>
      </c>
      <c r="J94" s="1">
        <f t="shared" si="27"/>
        <v>0.32237004852367535</v>
      </c>
      <c r="K94" s="1">
        <f t="shared" si="28"/>
        <v>0.3569059021280645</v>
      </c>
      <c r="U94" s="1">
        <f t="shared" ref="U94:U103" si="29">K85</f>
        <v>0.3359309868259735</v>
      </c>
    </row>
    <row r="95" spans="1:25" x14ac:dyDescent="0.25">
      <c r="U95" s="1">
        <f t="shared" si="29"/>
        <v>0.41241939425842711</v>
      </c>
    </row>
    <row r="96" spans="1:25" x14ac:dyDescent="0.25">
      <c r="U96" s="1">
        <f t="shared" si="29"/>
        <v>0.37281395130121692</v>
      </c>
    </row>
    <row r="97" spans="1:25" x14ac:dyDescent="0.25">
      <c r="A97" t="s">
        <v>1</v>
      </c>
      <c r="B97" t="s">
        <v>14</v>
      </c>
      <c r="C97" t="s">
        <v>13</v>
      </c>
      <c r="I97" t="s">
        <v>19</v>
      </c>
      <c r="J97" s="2">
        <f>AVERAGE(J85:J94)</f>
        <v>0.31114584050767269</v>
      </c>
      <c r="K97" s="2">
        <f>AVERAGE(K85:K94)</f>
        <v>0.33273275852879164</v>
      </c>
      <c r="U97" s="1">
        <f t="shared" si="29"/>
        <v>0.34547356584574568</v>
      </c>
    </row>
    <row r="98" spans="1:25" x14ac:dyDescent="0.25">
      <c r="A98" t="s">
        <v>2</v>
      </c>
      <c r="B98">
        <v>2.9965600000000001</v>
      </c>
      <c r="C98">
        <v>2.2430500000000002</v>
      </c>
      <c r="D98">
        <f t="shared" ref="D98:D107" si="30">B98-C98</f>
        <v>0.7535099999999999</v>
      </c>
      <c r="E98" s="1">
        <f t="shared" ref="E98:E107" si="31">D98/C98</f>
        <v>0.3359309868259735</v>
      </c>
      <c r="N98" t="s">
        <v>20</v>
      </c>
      <c r="O98" s="2">
        <f>MIN(U84:U103)</f>
        <v>0.21550872926556891</v>
      </c>
      <c r="U98" s="1">
        <f t="shared" si="29"/>
        <v>0.38064336614145367</v>
      </c>
    </row>
    <row r="99" spans="1:25" x14ac:dyDescent="0.25">
      <c r="A99" t="s">
        <v>3</v>
      </c>
      <c r="B99">
        <v>3.0051199999999998</v>
      </c>
      <c r="C99">
        <v>2.12764</v>
      </c>
      <c r="D99">
        <f t="shared" si="30"/>
        <v>0.87747999999999982</v>
      </c>
      <c r="E99" s="1">
        <f t="shared" si="31"/>
        <v>0.41241939425842711</v>
      </c>
      <c r="N99" t="s">
        <v>21</v>
      </c>
      <c r="O99" s="2">
        <f>MAX(U84:U103)</f>
        <v>0.41241939425842711</v>
      </c>
      <c r="U99" s="1">
        <f t="shared" si="29"/>
        <v>0.34767106798949515</v>
      </c>
    </row>
    <row r="100" spans="1:25" x14ac:dyDescent="0.25">
      <c r="A100" t="s">
        <v>4</v>
      </c>
      <c r="B100">
        <v>3.0653700000000002</v>
      </c>
      <c r="C100">
        <v>2.23291</v>
      </c>
      <c r="D100">
        <f t="shared" si="30"/>
        <v>0.8324600000000002</v>
      </c>
      <c r="E100" s="1">
        <f t="shared" si="31"/>
        <v>0.37281395130121692</v>
      </c>
      <c r="N100" t="s">
        <v>22</v>
      </c>
      <c r="O100" s="2">
        <f>AVERAGE(U84:U103)</f>
        <v>0.32193929951823214</v>
      </c>
      <c r="U100" s="1">
        <f t="shared" si="29"/>
        <v>0.31950947603121527</v>
      </c>
    </row>
    <row r="101" spans="1:25" x14ac:dyDescent="0.25">
      <c r="A101" t="s">
        <v>5</v>
      </c>
      <c r="B101">
        <v>2.9195700000000002</v>
      </c>
      <c r="C101">
        <v>2.1699199999999998</v>
      </c>
      <c r="D101">
        <f t="shared" si="30"/>
        <v>0.74965000000000037</v>
      </c>
      <c r="E101" s="1">
        <f t="shared" si="31"/>
        <v>0.34547356584574568</v>
      </c>
      <c r="U101" s="1">
        <f t="shared" si="29"/>
        <v>0.21550872926556891</v>
      </c>
    </row>
    <row r="102" spans="1:25" x14ac:dyDescent="0.25">
      <c r="A102" t="s">
        <v>6</v>
      </c>
      <c r="B102">
        <v>2.92753</v>
      </c>
      <c r="C102">
        <v>2.1204100000000001</v>
      </c>
      <c r="D102">
        <f t="shared" si="30"/>
        <v>0.80711999999999984</v>
      </c>
      <c r="E102" s="1">
        <f t="shared" si="31"/>
        <v>0.38064336614145367</v>
      </c>
      <c r="U102" s="1">
        <f t="shared" si="29"/>
        <v>0.24045114550075539</v>
      </c>
    </row>
    <row r="103" spans="1:25" x14ac:dyDescent="0.25">
      <c r="A103" t="s">
        <v>7</v>
      </c>
      <c r="B103">
        <v>2.9558200000000001</v>
      </c>
      <c r="C103">
        <v>2.1932800000000001</v>
      </c>
      <c r="D103">
        <f t="shared" si="30"/>
        <v>0.76254</v>
      </c>
      <c r="E103" s="1">
        <f t="shared" si="31"/>
        <v>0.34767106798949515</v>
      </c>
      <c r="U103" s="1">
        <f t="shared" si="29"/>
        <v>0.3569059021280645</v>
      </c>
    </row>
    <row r="104" spans="1:25" x14ac:dyDescent="0.25">
      <c r="A104" t="s">
        <v>8</v>
      </c>
      <c r="B104">
        <v>2.8998200000000001</v>
      </c>
      <c r="C104">
        <v>2.1976499999999999</v>
      </c>
      <c r="D104">
        <f t="shared" si="30"/>
        <v>0.70217000000000018</v>
      </c>
      <c r="E104" s="1">
        <f t="shared" si="31"/>
        <v>0.31950947603121527</v>
      </c>
    </row>
    <row r="105" spans="1:25" x14ac:dyDescent="0.25">
      <c r="A105" t="s">
        <v>9</v>
      </c>
      <c r="B105">
        <v>2.8190200000000001</v>
      </c>
      <c r="C105">
        <v>2.31921</v>
      </c>
      <c r="D105">
        <f t="shared" si="30"/>
        <v>0.49981000000000009</v>
      </c>
      <c r="E105" s="1">
        <f t="shared" si="31"/>
        <v>0.21550872926556891</v>
      </c>
    </row>
    <row r="106" spans="1:25" x14ac:dyDescent="0.25">
      <c r="A106" t="s">
        <v>10</v>
      </c>
      <c r="B106">
        <v>2.7429600000000001</v>
      </c>
      <c r="C106">
        <v>2.2112599999999998</v>
      </c>
      <c r="D106">
        <f t="shared" si="30"/>
        <v>0.53170000000000028</v>
      </c>
      <c r="E106" s="1">
        <f t="shared" si="31"/>
        <v>0.24045114550075539</v>
      </c>
    </row>
    <row r="107" spans="1:25" x14ac:dyDescent="0.25">
      <c r="A107" t="s">
        <v>11</v>
      </c>
      <c r="B107">
        <v>8.5569199999999999</v>
      </c>
      <c r="C107">
        <v>6.3061999999999996</v>
      </c>
      <c r="D107">
        <f t="shared" si="30"/>
        <v>2.2507200000000003</v>
      </c>
      <c r="E107" s="1">
        <f t="shared" si="31"/>
        <v>0.3569059021280645</v>
      </c>
    </row>
    <row r="109" spans="1:25" x14ac:dyDescent="0.25">
      <c r="A109" s="6" t="s">
        <v>30</v>
      </c>
      <c r="B109" s="6"/>
    </row>
    <row r="111" spans="1:25" x14ac:dyDescent="0.25">
      <c r="A111" t="s">
        <v>1</v>
      </c>
      <c r="B111" t="s">
        <v>12</v>
      </c>
      <c r="C111" t="s">
        <v>13</v>
      </c>
      <c r="E111" t="s">
        <v>15</v>
      </c>
      <c r="I111" t="s">
        <v>16</v>
      </c>
      <c r="J111" t="s">
        <v>17</v>
      </c>
      <c r="K111" t="s">
        <v>18</v>
      </c>
      <c r="U111" s="1">
        <f t="shared" ref="U111:U120" si="32">J112</f>
        <v>6.4617129529831022E-2</v>
      </c>
      <c r="W111" s="2">
        <f>O125</f>
        <v>4.9461201558599885E-2</v>
      </c>
      <c r="X111" s="2">
        <f>O126</f>
        <v>0.27439228970788077</v>
      </c>
      <c r="Y111" s="2">
        <f>O127</f>
        <v>8.3577445200378381E-2</v>
      </c>
    </row>
    <row r="112" spans="1:25" x14ac:dyDescent="0.25">
      <c r="A112" t="s">
        <v>2</v>
      </c>
      <c r="B112">
        <v>1.18148319567979</v>
      </c>
      <c r="C112">
        <v>1.10977285909496</v>
      </c>
      <c r="D112">
        <f t="shared" ref="D112:D121" si="33">B112-C112</f>
        <v>7.1710336584829948E-2</v>
      </c>
      <c r="E112" s="1">
        <f t="shared" ref="E112:E121" si="34">D112/C112</f>
        <v>6.4617129529831022E-2</v>
      </c>
      <c r="I112" t="s">
        <v>2</v>
      </c>
      <c r="J112" s="1">
        <f t="shared" ref="J112:J121" si="35">E112</f>
        <v>6.4617129529831022E-2</v>
      </c>
      <c r="K112" s="1">
        <f t="shared" ref="K112:K121" si="36">E125</f>
        <v>7.3375097470321449E-2</v>
      </c>
      <c r="U112" s="1">
        <f t="shared" si="32"/>
        <v>6.6641811509974225E-2</v>
      </c>
    </row>
    <row r="113" spans="1:21" x14ac:dyDescent="0.25">
      <c r="A113" t="s">
        <v>3</v>
      </c>
      <c r="B113">
        <v>1.2016954193138401</v>
      </c>
      <c r="C113">
        <v>1.1266157076785499</v>
      </c>
      <c r="D113">
        <f t="shared" si="33"/>
        <v>7.5079711635290147E-2</v>
      </c>
      <c r="E113" s="1">
        <f t="shared" si="34"/>
        <v>6.6641811509974225E-2</v>
      </c>
      <c r="I113" t="s">
        <v>3</v>
      </c>
      <c r="J113" s="1">
        <f t="shared" si="35"/>
        <v>6.6641811509974225E-2</v>
      </c>
      <c r="K113" s="1">
        <f t="shared" si="36"/>
        <v>6.1869607345620269E-2</v>
      </c>
      <c r="U113" s="1">
        <f t="shared" si="32"/>
        <v>7.3467758568190281E-2</v>
      </c>
    </row>
    <row r="114" spans="1:21" x14ac:dyDescent="0.25">
      <c r="A114" t="s">
        <v>4</v>
      </c>
      <c r="B114">
        <v>1.21778470986869</v>
      </c>
      <c r="C114">
        <v>1.1344399495453801</v>
      </c>
      <c r="D114">
        <f t="shared" si="33"/>
        <v>8.3344760323309952E-2</v>
      </c>
      <c r="E114" s="1">
        <f t="shared" si="34"/>
        <v>7.3467758568190281E-2</v>
      </c>
      <c r="I114" t="s">
        <v>4</v>
      </c>
      <c r="J114" s="1">
        <f t="shared" si="35"/>
        <v>7.3467758568190281E-2</v>
      </c>
      <c r="K114" s="1">
        <f t="shared" si="36"/>
        <v>6.9922824301240721E-2</v>
      </c>
      <c r="U114" s="1">
        <f t="shared" si="32"/>
        <v>6.6958243952345578E-2</v>
      </c>
    </row>
    <row r="115" spans="1:21" x14ac:dyDescent="0.25">
      <c r="A115" t="s">
        <v>5</v>
      </c>
      <c r="B115">
        <v>1.21485273612875</v>
      </c>
      <c r="C115">
        <v>1.1386131959846499</v>
      </c>
      <c r="D115">
        <f t="shared" si="33"/>
        <v>7.623954014410006E-2</v>
      </c>
      <c r="E115" s="1">
        <f t="shared" si="34"/>
        <v>6.6958243952345578E-2</v>
      </c>
      <c r="I115" t="s">
        <v>5</v>
      </c>
      <c r="J115" s="1">
        <f t="shared" si="35"/>
        <v>6.6958243952345578E-2</v>
      </c>
      <c r="K115" s="1">
        <f t="shared" si="36"/>
        <v>6.4322315473636468E-2</v>
      </c>
      <c r="U115" s="1">
        <f t="shared" si="32"/>
        <v>6.8217347981826063E-2</v>
      </c>
    </row>
    <row r="116" spans="1:21" x14ac:dyDescent="0.25">
      <c r="A116" t="s">
        <v>6</v>
      </c>
      <c r="B116">
        <v>1.2233030283777999</v>
      </c>
      <c r="C116">
        <v>1.1451817653860199</v>
      </c>
      <c r="D116">
        <f t="shared" si="33"/>
        <v>7.8121262991780016E-2</v>
      </c>
      <c r="E116" s="1">
        <f t="shared" si="34"/>
        <v>6.8217347981826063E-2</v>
      </c>
      <c r="I116" t="s">
        <v>6</v>
      </c>
      <c r="J116" s="1">
        <f t="shared" si="35"/>
        <v>6.8217347981826063E-2</v>
      </c>
      <c r="K116" s="1">
        <f t="shared" si="36"/>
        <v>6.2799069550831005E-2</v>
      </c>
      <c r="U116" s="1">
        <f t="shared" si="32"/>
        <v>6.1993119736466089E-2</v>
      </c>
    </row>
    <row r="117" spans="1:21" x14ac:dyDescent="0.25">
      <c r="A117" t="s">
        <v>7</v>
      </c>
      <c r="B117">
        <v>1.2245195706268499</v>
      </c>
      <c r="C117">
        <v>1.15303908082824</v>
      </c>
      <c r="D117">
        <f t="shared" si="33"/>
        <v>7.1480489798609881E-2</v>
      </c>
      <c r="E117" s="1">
        <f t="shared" si="34"/>
        <v>6.1993119736466089E-2</v>
      </c>
      <c r="I117" t="s">
        <v>7</v>
      </c>
      <c r="J117" s="1">
        <f t="shared" si="35"/>
        <v>6.1993119736466089E-2</v>
      </c>
      <c r="K117" s="1">
        <f t="shared" si="36"/>
        <v>6.1179160635950816E-2</v>
      </c>
      <c r="U117" s="1">
        <f t="shared" si="32"/>
        <v>6.1340301590736029E-2</v>
      </c>
    </row>
    <row r="118" spans="1:21" x14ac:dyDescent="0.25">
      <c r="A118" t="s">
        <v>8</v>
      </c>
      <c r="B118">
        <v>1.22206045902159</v>
      </c>
      <c r="C118">
        <v>1.15143131490434</v>
      </c>
      <c r="D118">
        <f t="shared" si="33"/>
        <v>7.0629144117249965E-2</v>
      </c>
      <c r="E118" s="1">
        <f t="shared" si="34"/>
        <v>6.1340301590736029E-2</v>
      </c>
      <c r="I118" t="s">
        <v>8</v>
      </c>
      <c r="J118" s="1">
        <f t="shared" si="35"/>
        <v>6.1340301590736029E-2</v>
      </c>
      <c r="K118" s="1">
        <f t="shared" si="36"/>
        <v>5.9704899804858443E-2</v>
      </c>
      <c r="U118" s="1">
        <f t="shared" si="32"/>
        <v>5.6717378256164144E-2</v>
      </c>
    </row>
    <row r="119" spans="1:21" x14ac:dyDescent="0.25">
      <c r="A119" t="s">
        <v>9</v>
      </c>
      <c r="B119">
        <v>1.2513137388818201</v>
      </c>
      <c r="C119">
        <v>1.18415175583351</v>
      </c>
      <c r="D119">
        <f t="shared" si="33"/>
        <v>6.7161983048310114E-2</v>
      </c>
      <c r="E119" s="1">
        <f t="shared" si="34"/>
        <v>5.6717378256164144E-2</v>
      </c>
      <c r="I119" t="s">
        <v>9</v>
      </c>
      <c r="J119" s="1">
        <f t="shared" si="35"/>
        <v>5.6717378256164144E-2</v>
      </c>
      <c r="K119" s="1">
        <f t="shared" si="36"/>
        <v>5.6230149276012061E-2</v>
      </c>
      <c r="U119" s="1">
        <f t="shared" si="32"/>
        <v>4.9461201558599885E-2</v>
      </c>
    </row>
    <row r="120" spans="1:21" x14ac:dyDescent="0.25">
      <c r="A120" t="s">
        <v>10</v>
      </c>
      <c r="B120">
        <v>1.3012800037060399</v>
      </c>
      <c r="C120">
        <v>1.2399505591759401</v>
      </c>
      <c r="D120">
        <f t="shared" si="33"/>
        <v>6.1329444530099808E-2</v>
      </c>
      <c r="E120" s="1">
        <f t="shared" si="34"/>
        <v>4.9461201558599885E-2</v>
      </c>
      <c r="I120" t="s">
        <v>10</v>
      </c>
      <c r="J120" s="1">
        <f t="shared" si="35"/>
        <v>4.9461201558599885E-2</v>
      </c>
      <c r="K120" s="1">
        <f t="shared" si="36"/>
        <v>5.0735957110829802E-2</v>
      </c>
      <c r="U120" s="1">
        <f t="shared" si="32"/>
        <v>0.26760324064625257</v>
      </c>
    </row>
    <row r="121" spans="1:21" x14ac:dyDescent="0.25">
      <c r="A121" t="s">
        <v>11</v>
      </c>
      <c r="B121">
        <v>2.6956783804531899</v>
      </c>
      <c r="C121">
        <v>2.1265947372293499</v>
      </c>
      <c r="D121">
        <f t="shared" si="33"/>
        <v>0.56908364322383997</v>
      </c>
      <c r="E121" s="1">
        <f t="shared" si="34"/>
        <v>0.26760324064625257</v>
      </c>
      <c r="I121" t="s">
        <v>11</v>
      </c>
      <c r="J121" s="1">
        <f t="shared" si="35"/>
        <v>0.26760324064625257</v>
      </c>
      <c r="K121" s="1">
        <f t="shared" si="36"/>
        <v>0.27439228970788077</v>
      </c>
      <c r="U121" s="1">
        <f t="shared" ref="U121:U130" si="37">K112</f>
        <v>7.3375097470321449E-2</v>
      </c>
    </row>
    <row r="122" spans="1:21" x14ac:dyDescent="0.25">
      <c r="U122" s="1">
        <f t="shared" si="37"/>
        <v>6.1869607345620269E-2</v>
      </c>
    </row>
    <row r="123" spans="1:21" x14ac:dyDescent="0.25">
      <c r="U123" s="1">
        <f t="shared" si="37"/>
        <v>6.9922824301240721E-2</v>
      </c>
    </row>
    <row r="124" spans="1:21" x14ac:dyDescent="0.25">
      <c r="A124" t="s">
        <v>1</v>
      </c>
      <c r="B124" t="s">
        <v>14</v>
      </c>
      <c r="C124" t="s">
        <v>13</v>
      </c>
      <c r="I124" t="s">
        <v>19</v>
      </c>
      <c r="J124" s="2">
        <f>AVERAGE(J112:J121)</f>
        <v>8.37017533330386E-2</v>
      </c>
      <c r="K124" s="2">
        <f>AVERAGE(K112:K121)</f>
        <v>8.3453137067718189E-2</v>
      </c>
      <c r="U124" s="1">
        <f t="shared" si="37"/>
        <v>6.4322315473636468E-2</v>
      </c>
    </row>
    <row r="125" spans="1:21" x14ac:dyDescent="0.25">
      <c r="A125" t="s">
        <v>2</v>
      </c>
      <c r="B125">
        <v>1.19120255080097</v>
      </c>
      <c r="C125">
        <v>1.10977285909496</v>
      </c>
      <c r="D125">
        <f t="shared" ref="D125:D134" si="38">B125-C125</f>
        <v>8.1429691706009999E-2</v>
      </c>
      <c r="E125" s="1">
        <f t="shared" ref="E125:E134" si="39">D125/C125</f>
        <v>7.3375097470321449E-2</v>
      </c>
      <c r="N125" t="s">
        <v>20</v>
      </c>
      <c r="O125" s="2">
        <f>MIN(U111:U130)</f>
        <v>4.9461201558599885E-2</v>
      </c>
      <c r="U125" s="1">
        <f t="shared" si="37"/>
        <v>6.2799069550831005E-2</v>
      </c>
    </row>
    <row r="126" spans="1:21" x14ac:dyDescent="0.25">
      <c r="A126" t="s">
        <v>3</v>
      </c>
      <c r="B126">
        <v>1.1963189791420299</v>
      </c>
      <c r="C126">
        <v>1.1266157076785499</v>
      </c>
      <c r="D126">
        <f t="shared" si="38"/>
        <v>6.9703271463479988E-2</v>
      </c>
      <c r="E126" s="1">
        <f t="shared" si="39"/>
        <v>6.1869607345620269E-2</v>
      </c>
      <c r="N126" t="s">
        <v>21</v>
      </c>
      <c r="O126" s="2">
        <f>MAX(U111:U130)</f>
        <v>0.27439228970788077</v>
      </c>
      <c r="U126" s="1">
        <f t="shared" si="37"/>
        <v>6.1179160635950816E-2</v>
      </c>
    </row>
    <row r="127" spans="1:21" x14ac:dyDescent="0.25">
      <c r="A127" t="s">
        <v>4</v>
      </c>
      <c r="B127">
        <v>1.2137631948177501</v>
      </c>
      <c r="C127">
        <v>1.1344399495453801</v>
      </c>
      <c r="D127">
        <f t="shared" si="38"/>
        <v>7.9323245272370002E-2</v>
      </c>
      <c r="E127" s="1">
        <f t="shared" si="39"/>
        <v>6.9922824301240721E-2</v>
      </c>
      <c r="N127" t="s">
        <v>22</v>
      </c>
      <c r="O127" s="2">
        <f>AVERAGE(U111:U130)</f>
        <v>8.3577445200378381E-2</v>
      </c>
      <c r="U127" s="1">
        <f t="shared" si="37"/>
        <v>5.9704899804858443E-2</v>
      </c>
    </row>
    <row r="128" spans="1:21" x14ac:dyDescent="0.25">
      <c r="A128" t="s">
        <v>5</v>
      </c>
      <c r="B128">
        <v>1.2118514331792201</v>
      </c>
      <c r="C128">
        <v>1.1386131959846499</v>
      </c>
      <c r="D128">
        <f t="shared" si="38"/>
        <v>7.3238237194570122E-2</v>
      </c>
      <c r="E128" s="1">
        <f t="shared" si="39"/>
        <v>6.4322315473636468E-2</v>
      </c>
      <c r="U128" s="1">
        <f t="shared" si="37"/>
        <v>5.6230149276012061E-2</v>
      </c>
    </row>
    <row r="129" spans="1:25" x14ac:dyDescent="0.25">
      <c r="A129" t="s">
        <v>6</v>
      </c>
      <c r="B129">
        <v>1.21709811471884</v>
      </c>
      <c r="C129">
        <v>1.1451817653860199</v>
      </c>
      <c r="D129">
        <f t="shared" si="38"/>
        <v>7.1916349332820095E-2</v>
      </c>
      <c r="E129" s="1">
        <f t="shared" si="39"/>
        <v>6.2799069550831005E-2</v>
      </c>
      <c r="U129" s="1">
        <f t="shared" si="37"/>
        <v>5.0735957110829802E-2</v>
      </c>
    </row>
    <row r="130" spans="1:25" x14ac:dyDescent="0.25">
      <c r="A130" t="s">
        <v>7</v>
      </c>
      <c r="B130">
        <v>1.22358104397376</v>
      </c>
      <c r="C130">
        <v>1.15303908082824</v>
      </c>
      <c r="D130">
        <f t="shared" si="38"/>
        <v>7.054196314551997E-2</v>
      </c>
      <c r="E130" s="1">
        <f t="shared" si="39"/>
        <v>6.1179160635950816E-2</v>
      </c>
      <c r="U130" s="1">
        <f t="shared" si="37"/>
        <v>0.27439228970788077</v>
      </c>
    </row>
    <row r="131" spans="1:25" x14ac:dyDescent="0.25">
      <c r="A131" t="s">
        <v>8</v>
      </c>
      <c r="B131">
        <v>1.2201774061928801</v>
      </c>
      <c r="C131">
        <v>1.15143131490434</v>
      </c>
      <c r="D131">
        <f t="shared" si="38"/>
        <v>6.8746091288540034E-2</v>
      </c>
      <c r="E131" s="1">
        <f t="shared" si="39"/>
        <v>5.9704899804858443E-2</v>
      </c>
    </row>
    <row r="132" spans="1:25" x14ac:dyDescent="0.25">
      <c r="A132" t="s">
        <v>9</v>
      </c>
      <c r="B132">
        <v>1.25073678582948</v>
      </c>
      <c r="C132">
        <v>1.18415175583351</v>
      </c>
      <c r="D132">
        <f t="shared" si="38"/>
        <v>6.6585029995970046E-2</v>
      </c>
      <c r="E132" s="1">
        <f t="shared" si="39"/>
        <v>5.6230149276012061E-2</v>
      </c>
    </row>
    <row r="133" spans="1:25" x14ac:dyDescent="0.25">
      <c r="A133" t="s">
        <v>10</v>
      </c>
      <c r="B133">
        <v>1.30286063756584</v>
      </c>
      <c r="C133">
        <v>1.2399505591759401</v>
      </c>
      <c r="D133">
        <f t="shared" si="38"/>
        <v>6.2910078389899926E-2</v>
      </c>
      <c r="E133" s="1">
        <f t="shared" si="39"/>
        <v>5.0735957110829802E-2</v>
      </c>
    </row>
    <row r="134" spans="1:25" x14ac:dyDescent="0.25">
      <c r="A134" t="s">
        <v>11</v>
      </c>
      <c r="B134">
        <v>2.7101159364584402</v>
      </c>
      <c r="C134">
        <v>2.1265947372293499</v>
      </c>
      <c r="D134">
        <f t="shared" si="38"/>
        <v>0.58352119922909029</v>
      </c>
      <c r="E134" s="1">
        <f t="shared" si="39"/>
        <v>0.27439228970788077</v>
      </c>
    </row>
    <row r="136" spans="1:25" x14ac:dyDescent="0.25">
      <c r="A136" s="6" t="s">
        <v>31</v>
      </c>
      <c r="B136" s="6"/>
    </row>
    <row r="138" spans="1:25" x14ac:dyDescent="0.25">
      <c r="A138" t="s">
        <v>1</v>
      </c>
      <c r="B138" t="s">
        <v>12</v>
      </c>
      <c r="C138" t="s">
        <v>13</v>
      </c>
      <c r="E138" t="s">
        <v>15</v>
      </c>
      <c r="I138" t="s">
        <v>16</v>
      </c>
      <c r="J138" t="s">
        <v>17</v>
      </c>
      <c r="K138" t="s">
        <v>18</v>
      </c>
      <c r="U138" s="1">
        <f t="shared" ref="U138:U147" si="40">J139</f>
        <v>0.46943337002766944</v>
      </c>
      <c r="W138" s="2">
        <f>O152</f>
        <v>0.35958265963848873</v>
      </c>
      <c r="X138" s="2">
        <f>O153</f>
        <v>0.53817574603552409</v>
      </c>
      <c r="Y138" s="2">
        <f>O154</f>
        <v>0.4400489591657083</v>
      </c>
    </row>
    <row r="139" spans="1:25" x14ac:dyDescent="0.25">
      <c r="A139" t="s">
        <v>2</v>
      </c>
      <c r="B139">
        <v>3.95113</v>
      </c>
      <c r="C139">
        <v>2.6888800000000002</v>
      </c>
      <c r="D139">
        <f t="shared" ref="D139:D148" si="41">B139-C139</f>
        <v>1.2622499999999999</v>
      </c>
      <c r="E139" s="1">
        <f t="shared" ref="E139:E148" si="42">D139/C139</f>
        <v>0.46943337002766944</v>
      </c>
      <c r="I139" t="s">
        <v>2</v>
      </c>
      <c r="J139" s="1">
        <f t="shared" ref="J139:J148" si="43">E139</f>
        <v>0.46943337002766944</v>
      </c>
      <c r="K139" s="1">
        <f t="shared" ref="K139:K148" si="44">E152</f>
        <v>0.53817574603552409</v>
      </c>
      <c r="U139" s="1">
        <f t="shared" si="40"/>
        <v>0.48115042431116828</v>
      </c>
    </row>
    <row r="140" spans="1:25" x14ac:dyDescent="0.25">
      <c r="A140" t="s">
        <v>3</v>
      </c>
      <c r="B140">
        <v>4.2569299999999997</v>
      </c>
      <c r="C140">
        <v>2.8740700000000001</v>
      </c>
      <c r="D140">
        <f t="shared" si="41"/>
        <v>1.3828599999999995</v>
      </c>
      <c r="E140" s="1">
        <f t="shared" si="42"/>
        <v>0.48115042431116828</v>
      </c>
      <c r="I140" t="s">
        <v>3</v>
      </c>
      <c r="J140" s="1">
        <f t="shared" si="43"/>
        <v>0.48115042431116828</v>
      </c>
      <c r="K140" s="1">
        <f t="shared" si="44"/>
        <v>0.43593231897622531</v>
      </c>
      <c r="U140" s="1">
        <f t="shared" si="40"/>
        <v>0.5254771467941014</v>
      </c>
    </row>
    <row r="141" spans="1:25" x14ac:dyDescent="0.25">
      <c r="A141" t="s">
        <v>4</v>
      </c>
      <c r="B141">
        <v>4.1626000000000003</v>
      </c>
      <c r="C141">
        <v>2.72872</v>
      </c>
      <c r="D141">
        <f t="shared" si="41"/>
        <v>1.4338800000000003</v>
      </c>
      <c r="E141" s="1">
        <f t="shared" si="42"/>
        <v>0.5254771467941014</v>
      </c>
      <c r="I141" t="s">
        <v>4</v>
      </c>
      <c r="J141" s="1">
        <f t="shared" si="43"/>
        <v>0.5254771467941014</v>
      </c>
      <c r="K141" s="1">
        <f t="shared" si="44"/>
        <v>0.51108578381072445</v>
      </c>
      <c r="U141" s="1">
        <f t="shared" si="40"/>
        <v>0.41825171708883585</v>
      </c>
    </row>
    <row r="142" spans="1:25" x14ac:dyDescent="0.25">
      <c r="A142" t="s">
        <v>5</v>
      </c>
      <c r="B142">
        <v>4.0100499999999997</v>
      </c>
      <c r="C142">
        <v>2.8274599999999999</v>
      </c>
      <c r="D142">
        <f t="shared" si="41"/>
        <v>1.1825899999999998</v>
      </c>
      <c r="E142" s="1">
        <f t="shared" si="42"/>
        <v>0.41825171708883585</v>
      </c>
      <c r="I142" t="s">
        <v>5</v>
      </c>
      <c r="J142" s="1">
        <f t="shared" si="43"/>
        <v>0.41825171708883585</v>
      </c>
      <c r="K142" s="1">
        <f t="shared" si="44"/>
        <v>0.4175196112411847</v>
      </c>
      <c r="U142" s="1">
        <f t="shared" si="40"/>
        <v>0.47249383281835705</v>
      </c>
    </row>
    <row r="143" spans="1:25" x14ac:dyDescent="0.25">
      <c r="A143" t="s">
        <v>6</v>
      </c>
      <c r="B143">
        <v>4.1126899999999997</v>
      </c>
      <c r="C143">
        <v>2.7930100000000002</v>
      </c>
      <c r="D143">
        <f t="shared" si="41"/>
        <v>1.3196799999999995</v>
      </c>
      <c r="E143" s="1">
        <f t="shared" si="42"/>
        <v>0.47249383281835705</v>
      </c>
      <c r="I143" t="s">
        <v>6</v>
      </c>
      <c r="J143" s="1">
        <f t="shared" si="43"/>
        <v>0.47249383281835705</v>
      </c>
      <c r="K143" s="1">
        <f t="shared" si="44"/>
        <v>0.40837662593402801</v>
      </c>
      <c r="U143" s="1">
        <f t="shared" si="40"/>
        <v>0.46030705055152971</v>
      </c>
    </row>
    <row r="144" spans="1:25" x14ac:dyDescent="0.25">
      <c r="A144" t="s">
        <v>7</v>
      </c>
      <c r="B144">
        <v>4.0748699999999998</v>
      </c>
      <c r="C144">
        <v>2.7904200000000001</v>
      </c>
      <c r="D144">
        <f t="shared" si="41"/>
        <v>1.2844499999999996</v>
      </c>
      <c r="E144" s="1">
        <f t="shared" si="42"/>
        <v>0.46030705055152971</v>
      </c>
      <c r="I144" t="s">
        <v>7</v>
      </c>
      <c r="J144" s="1">
        <f t="shared" si="43"/>
        <v>0.46030705055152971</v>
      </c>
      <c r="K144" s="1">
        <f t="shared" si="44"/>
        <v>0.43065918392213354</v>
      </c>
      <c r="U144" s="1">
        <f t="shared" si="40"/>
        <v>0.42848172432424542</v>
      </c>
    </row>
    <row r="145" spans="1:21" x14ac:dyDescent="0.25">
      <c r="A145" t="s">
        <v>8</v>
      </c>
      <c r="B145">
        <v>3.9128400000000001</v>
      </c>
      <c r="C145">
        <v>2.73916</v>
      </c>
      <c r="D145">
        <f t="shared" si="41"/>
        <v>1.1736800000000001</v>
      </c>
      <c r="E145" s="1">
        <f t="shared" si="42"/>
        <v>0.42848172432424542</v>
      </c>
      <c r="I145" t="s">
        <v>8</v>
      </c>
      <c r="J145" s="1">
        <f t="shared" si="43"/>
        <v>0.42848172432424542</v>
      </c>
      <c r="K145" s="1">
        <f t="shared" si="44"/>
        <v>0.43385198381985718</v>
      </c>
      <c r="U145" s="1">
        <f t="shared" si="40"/>
        <v>0.42085567164779092</v>
      </c>
    </row>
    <row r="146" spans="1:21" x14ac:dyDescent="0.25">
      <c r="A146" t="s">
        <v>9</v>
      </c>
      <c r="B146">
        <v>3.8879299999999999</v>
      </c>
      <c r="C146">
        <v>2.7363300000000002</v>
      </c>
      <c r="D146">
        <f t="shared" si="41"/>
        <v>1.1515999999999997</v>
      </c>
      <c r="E146" s="1">
        <f t="shared" si="42"/>
        <v>0.42085567164779092</v>
      </c>
      <c r="I146" t="s">
        <v>9</v>
      </c>
      <c r="J146" s="1">
        <f t="shared" si="43"/>
        <v>0.42085567164779092</v>
      </c>
      <c r="K146" s="1">
        <f t="shared" si="44"/>
        <v>0.41178147372575674</v>
      </c>
      <c r="U146" s="1">
        <f t="shared" si="40"/>
        <v>0.35958265963848873</v>
      </c>
    </row>
    <row r="147" spans="1:21" x14ac:dyDescent="0.25">
      <c r="A147" t="s">
        <v>10</v>
      </c>
      <c r="B147">
        <v>3.7503000000000002</v>
      </c>
      <c r="C147">
        <v>2.7584200000000001</v>
      </c>
      <c r="D147">
        <f t="shared" si="41"/>
        <v>0.99188000000000009</v>
      </c>
      <c r="E147" s="1">
        <f t="shared" si="42"/>
        <v>0.35958265963848873</v>
      </c>
      <c r="I147" t="s">
        <v>10</v>
      </c>
      <c r="J147" s="1">
        <f t="shared" si="43"/>
        <v>0.35958265963848873</v>
      </c>
      <c r="K147" s="1">
        <f t="shared" si="44"/>
        <v>0.40270879706498647</v>
      </c>
      <c r="U147" s="1">
        <f t="shared" si="40"/>
        <v>0.36470975594616406</v>
      </c>
    </row>
    <row r="148" spans="1:21" x14ac:dyDescent="0.25">
      <c r="A148" t="s">
        <v>11</v>
      </c>
      <c r="B148">
        <v>10.1134</v>
      </c>
      <c r="C148">
        <v>7.41066</v>
      </c>
      <c r="D148">
        <f t="shared" si="41"/>
        <v>2.7027400000000004</v>
      </c>
      <c r="E148" s="1">
        <f t="shared" si="42"/>
        <v>0.36470975594616406</v>
      </c>
      <c r="I148" t="s">
        <v>11</v>
      </c>
      <c r="J148" s="1">
        <f t="shared" si="43"/>
        <v>0.36470975594616406</v>
      </c>
      <c r="K148" s="1">
        <f t="shared" si="44"/>
        <v>0.41014430563539561</v>
      </c>
      <c r="U148" s="1">
        <f t="shared" ref="U148:U157" si="45">K139</f>
        <v>0.53817574603552409</v>
      </c>
    </row>
    <row r="149" spans="1:21" x14ac:dyDescent="0.25">
      <c r="U149" s="1">
        <f t="shared" si="45"/>
        <v>0.43593231897622531</v>
      </c>
    </row>
    <row r="150" spans="1:21" x14ac:dyDescent="0.25">
      <c r="U150" s="1">
        <f t="shared" si="45"/>
        <v>0.51108578381072445</v>
      </c>
    </row>
    <row r="151" spans="1:21" x14ac:dyDescent="0.25">
      <c r="A151" t="s">
        <v>1</v>
      </c>
      <c r="B151" t="s">
        <v>14</v>
      </c>
      <c r="C151" t="s">
        <v>13</v>
      </c>
      <c r="I151" t="s">
        <v>19</v>
      </c>
      <c r="J151" s="2">
        <f>AVERAGE(J139:J148)</f>
        <v>0.44007433531483509</v>
      </c>
      <c r="K151" s="2">
        <f>AVERAGE(K139:K148)</f>
        <v>0.44002358301658162</v>
      </c>
      <c r="U151" s="1">
        <f t="shared" si="45"/>
        <v>0.4175196112411847</v>
      </c>
    </row>
    <row r="152" spans="1:21" x14ac:dyDescent="0.25">
      <c r="A152" t="s">
        <v>2</v>
      </c>
      <c r="B152">
        <v>4.1359700000000004</v>
      </c>
      <c r="C152">
        <v>2.6888800000000002</v>
      </c>
      <c r="D152">
        <f t="shared" ref="D152:D161" si="46">B152-C152</f>
        <v>1.4470900000000002</v>
      </c>
      <c r="E152" s="1">
        <f t="shared" ref="E152:E161" si="47">D152/C152</f>
        <v>0.53817574603552409</v>
      </c>
      <c r="N152" t="s">
        <v>20</v>
      </c>
      <c r="O152" s="2">
        <f>MIN(U138:U157)</f>
        <v>0.35958265963848873</v>
      </c>
      <c r="U152" s="1">
        <f t="shared" si="45"/>
        <v>0.40837662593402801</v>
      </c>
    </row>
    <row r="153" spans="1:21" x14ac:dyDescent="0.25">
      <c r="A153" t="s">
        <v>3</v>
      </c>
      <c r="B153">
        <v>4.12697</v>
      </c>
      <c r="C153">
        <v>2.8740700000000001</v>
      </c>
      <c r="D153">
        <f t="shared" si="46"/>
        <v>1.2528999999999999</v>
      </c>
      <c r="E153" s="1">
        <f t="shared" si="47"/>
        <v>0.43593231897622531</v>
      </c>
      <c r="N153" t="s">
        <v>21</v>
      </c>
      <c r="O153" s="2">
        <f>MAX(U138:U157)</f>
        <v>0.53817574603552409</v>
      </c>
      <c r="U153" s="1">
        <f t="shared" si="45"/>
        <v>0.43065918392213354</v>
      </c>
    </row>
    <row r="154" spans="1:21" x14ac:dyDescent="0.25">
      <c r="A154" t="s">
        <v>4</v>
      </c>
      <c r="B154">
        <v>4.1233300000000002</v>
      </c>
      <c r="C154">
        <v>2.72872</v>
      </c>
      <c r="D154">
        <f t="shared" si="46"/>
        <v>1.3946100000000001</v>
      </c>
      <c r="E154" s="1">
        <f t="shared" si="47"/>
        <v>0.51108578381072445</v>
      </c>
      <c r="N154" t="s">
        <v>22</v>
      </c>
      <c r="O154" s="2">
        <f>AVERAGE(U138:U157)</f>
        <v>0.4400489591657083</v>
      </c>
      <c r="U154" s="1">
        <f t="shared" si="45"/>
        <v>0.43385198381985718</v>
      </c>
    </row>
    <row r="155" spans="1:21" x14ac:dyDescent="0.25">
      <c r="A155" t="s">
        <v>5</v>
      </c>
      <c r="B155">
        <v>4.0079799999999999</v>
      </c>
      <c r="C155">
        <v>2.8274599999999999</v>
      </c>
      <c r="D155">
        <f t="shared" si="46"/>
        <v>1.18052</v>
      </c>
      <c r="E155" s="1">
        <f t="shared" si="47"/>
        <v>0.4175196112411847</v>
      </c>
      <c r="U155" s="1">
        <f t="shared" si="45"/>
        <v>0.41178147372575674</v>
      </c>
    </row>
    <row r="156" spans="1:21" x14ac:dyDescent="0.25">
      <c r="A156" t="s">
        <v>6</v>
      </c>
      <c r="B156">
        <v>3.9336099999999998</v>
      </c>
      <c r="C156">
        <v>2.7930100000000002</v>
      </c>
      <c r="D156">
        <f t="shared" si="46"/>
        <v>1.1405999999999996</v>
      </c>
      <c r="E156" s="1">
        <f t="shared" si="47"/>
        <v>0.40837662593402801</v>
      </c>
      <c r="U156" s="1">
        <f t="shared" si="45"/>
        <v>0.40270879706498647</v>
      </c>
    </row>
    <row r="157" spans="1:21" x14ac:dyDescent="0.25">
      <c r="A157" t="s">
        <v>7</v>
      </c>
      <c r="B157">
        <v>3.99214</v>
      </c>
      <c r="C157">
        <v>2.7904200000000001</v>
      </c>
      <c r="D157">
        <f t="shared" si="46"/>
        <v>1.2017199999999999</v>
      </c>
      <c r="E157" s="1">
        <f t="shared" si="47"/>
        <v>0.43065918392213354</v>
      </c>
      <c r="U157" s="1">
        <f t="shared" si="45"/>
        <v>0.41014430563539561</v>
      </c>
    </row>
    <row r="158" spans="1:21" x14ac:dyDescent="0.25">
      <c r="A158" t="s">
        <v>8</v>
      </c>
      <c r="B158">
        <v>3.9275500000000001</v>
      </c>
      <c r="C158">
        <v>2.73916</v>
      </c>
      <c r="D158">
        <f t="shared" si="46"/>
        <v>1.1883900000000001</v>
      </c>
      <c r="E158" s="1">
        <f t="shared" si="47"/>
        <v>0.43385198381985718</v>
      </c>
    </row>
    <row r="159" spans="1:21" x14ac:dyDescent="0.25">
      <c r="A159" t="s">
        <v>9</v>
      </c>
      <c r="B159">
        <v>3.8631000000000002</v>
      </c>
      <c r="C159">
        <v>2.7363300000000002</v>
      </c>
      <c r="D159">
        <f t="shared" si="46"/>
        <v>1.12677</v>
      </c>
      <c r="E159" s="1">
        <f t="shared" si="47"/>
        <v>0.41178147372575674</v>
      </c>
    </row>
    <row r="160" spans="1:21" x14ac:dyDescent="0.25">
      <c r="A160" t="s">
        <v>10</v>
      </c>
      <c r="B160">
        <v>3.8692600000000001</v>
      </c>
      <c r="C160">
        <v>2.7584200000000001</v>
      </c>
      <c r="D160">
        <f t="shared" si="46"/>
        <v>1.11084</v>
      </c>
      <c r="E160" s="1">
        <f t="shared" si="47"/>
        <v>0.40270879706498647</v>
      </c>
    </row>
    <row r="161" spans="1:25" x14ac:dyDescent="0.25">
      <c r="A161" t="s">
        <v>11</v>
      </c>
      <c r="B161">
        <v>10.450100000000001</v>
      </c>
      <c r="C161">
        <v>7.41066</v>
      </c>
      <c r="D161">
        <f t="shared" si="46"/>
        <v>3.0394400000000008</v>
      </c>
      <c r="E161" s="1">
        <f t="shared" si="47"/>
        <v>0.41014430563539561</v>
      </c>
    </row>
    <row r="163" spans="1:25" x14ac:dyDescent="0.25">
      <c r="A163" s="6" t="s">
        <v>32</v>
      </c>
      <c r="B163" s="6"/>
    </row>
    <row r="165" spans="1:25" x14ac:dyDescent="0.25">
      <c r="A165" t="s">
        <v>1</v>
      </c>
      <c r="B165" t="s">
        <v>12</v>
      </c>
      <c r="C165" t="s">
        <v>13</v>
      </c>
      <c r="E165" t="s">
        <v>15</v>
      </c>
      <c r="I165" t="s">
        <v>16</v>
      </c>
      <c r="J165" t="s">
        <v>17</v>
      </c>
      <c r="K165" t="s">
        <v>18</v>
      </c>
      <c r="U165" s="1">
        <f t="shared" ref="U165:U174" si="48">J166</f>
        <v>0.16400289103908644</v>
      </c>
      <c r="W165" s="2">
        <f>O179</f>
        <v>0.10137525604932408</v>
      </c>
      <c r="X165" s="2">
        <f>O180</f>
        <v>0.34052794080307552</v>
      </c>
      <c r="Y165" s="2">
        <f>O181</f>
        <v>0.1535466150958078</v>
      </c>
    </row>
    <row r="166" spans="1:25" x14ac:dyDescent="0.25">
      <c r="A166" t="s">
        <v>2</v>
      </c>
      <c r="B166">
        <v>1.3903089193846101</v>
      </c>
      <c r="C166">
        <v>1.19442050366688</v>
      </c>
      <c r="D166">
        <f t="shared" ref="D166:D175" si="49">B166-C166</f>
        <v>0.19588841571773008</v>
      </c>
      <c r="E166" s="1">
        <f t="shared" ref="E166:E175" si="50">D166/C166</f>
        <v>0.16400289103908644</v>
      </c>
      <c r="I166" t="s">
        <v>2</v>
      </c>
      <c r="J166" s="1">
        <f t="shared" ref="J166:J175" si="51">E166</f>
        <v>0.16400289103908644</v>
      </c>
      <c r="K166" s="1">
        <f t="shared" ref="K166:K175" si="52">E179</f>
        <v>0.1421297373014925</v>
      </c>
      <c r="U166" s="1">
        <f t="shared" si="48"/>
        <v>0.1545754259631052</v>
      </c>
    </row>
    <row r="167" spans="1:25" x14ac:dyDescent="0.25">
      <c r="A167" t="s">
        <v>3</v>
      </c>
      <c r="B167">
        <v>1.39584266953846</v>
      </c>
      <c r="C167">
        <v>1.20896620363637</v>
      </c>
      <c r="D167">
        <f t="shared" si="49"/>
        <v>0.18687646590209006</v>
      </c>
      <c r="E167" s="1">
        <f t="shared" si="50"/>
        <v>0.1545754259631052</v>
      </c>
      <c r="I167" t="s">
        <v>3</v>
      </c>
      <c r="J167" s="1">
        <f t="shared" si="51"/>
        <v>0.1545754259631052</v>
      </c>
      <c r="K167" s="1">
        <f t="shared" si="52"/>
        <v>0.14188241308937585</v>
      </c>
      <c r="U167" s="1">
        <f t="shared" si="48"/>
        <v>0.13911182594037064</v>
      </c>
    </row>
    <row r="168" spans="1:25" x14ac:dyDescent="0.25">
      <c r="A168" t="s">
        <v>4</v>
      </c>
      <c r="B168">
        <v>1.3947212572307599</v>
      </c>
      <c r="C168">
        <v>1.2243936244620901</v>
      </c>
      <c r="D168">
        <f t="shared" si="49"/>
        <v>0.1703276327686698</v>
      </c>
      <c r="E168" s="1">
        <f t="shared" si="50"/>
        <v>0.13911182594037064</v>
      </c>
      <c r="I168" t="s">
        <v>4</v>
      </c>
      <c r="J168" s="1">
        <f t="shared" si="51"/>
        <v>0.13911182594037064</v>
      </c>
      <c r="K168" s="1">
        <f t="shared" si="52"/>
        <v>0.1291393911526004</v>
      </c>
      <c r="U168" s="1">
        <f t="shared" si="48"/>
        <v>0.13747702658839178</v>
      </c>
    </row>
    <row r="169" spans="1:25" x14ac:dyDescent="0.25">
      <c r="A169" t="s">
        <v>5</v>
      </c>
      <c r="B169">
        <v>1.4004248326153801</v>
      </c>
      <c r="C169">
        <v>1.2311675751515101</v>
      </c>
      <c r="D169">
        <f t="shared" si="49"/>
        <v>0.16925725746386999</v>
      </c>
      <c r="E169" s="1">
        <f t="shared" si="50"/>
        <v>0.13747702658839178</v>
      </c>
      <c r="I169" t="s">
        <v>5</v>
      </c>
      <c r="J169" s="1">
        <f t="shared" si="51"/>
        <v>0.13747702658839178</v>
      </c>
      <c r="K169" s="1">
        <f t="shared" si="52"/>
        <v>0.12287046523480272</v>
      </c>
      <c r="U169" s="1">
        <f t="shared" si="48"/>
        <v>0.14405062788617812</v>
      </c>
    </row>
    <row r="170" spans="1:25" x14ac:dyDescent="0.25">
      <c r="A170" t="s">
        <v>6</v>
      </c>
      <c r="B170">
        <v>1.4117329526153799</v>
      </c>
      <c r="C170">
        <v>1.23397769137524</v>
      </c>
      <c r="D170">
        <f t="shared" si="49"/>
        <v>0.17775526124013985</v>
      </c>
      <c r="E170" s="1">
        <f t="shared" si="50"/>
        <v>0.14405062788617812</v>
      </c>
      <c r="I170" t="s">
        <v>6</v>
      </c>
      <c r="J170" s="1">
        <f t="shared" si="51"/>
        <v>0.14405062788617812</v>
      </c>
      <c r="K170" s="1">
        <f t="shared" si="52"/>
        <v>0.13353467137424324</v>
      </c>
      <c r="U170" s="1">
        <f t="shared" si="48"/>
        <v>0.14507642001371573</v>
      </c>
    </row>
    <row r="171" spans="1:25" x14ac:dyDescent="0.25">
      <c r="A171" t="s">
        <v>7</v>
      </c>
      <c r="B171">
        <v>1.42072806276923</v>
      </c>
      <c r="C171">
        <v>1.2407277260606</v>
      </c>
      <c r="D171">
        <f t="shared" si="49"/>
        <v>0.18000033670863003</v>
      </c>
      <c r="E171" s="1">
        <f t="shared" si="50"/>
        <v>0.14507642001371573</v>
      </c>
      <c r="I171" t="s">
        <v>7</v>
      </c>
      <c r="J171" s="1">
        <f t="shared" si="51"/>
        <v>0.14507642001371573</v>
      </c>
      <c r="K171" s="1">
        <f t="shared" si="52"/>
        <v>0.13207792108050798</v>
      </c>
      <c r="U171" s="1">
        <f t="shared" si="48"/>
        <v>0.13461212630847544</v>
      </c>
    </row>
    <row r="172" spans="1:25" x14ac:dyDescent="0.25">
      <c r="A172" t="s">
        <v>8</v>
      </c>
      <c r="B172">
        <v>1.41401307876922</v>
      </c>
      <c r="C172">
        <v>1.2462523940844801</v>
      </c>
      <c r="D172">
        <f t="shared" si="49"/>
        <v>0.16776068468473992</v>
      </c>
      <c r="E172" s="1">
        <f t="shared" si="50"/>
        <v>0.13461212630847544</v>
      </c>
      <c r="I172" t="s">
        <v>8</v>
      </c>
      <c r="J172" s="1">
        <f t="shared" si="51"/>
        <v>0.13461212630847544</v>
      </c>
      <c r="K172" s="1">
        <f t="shared" si="52"/>
        <v>0.12557166696936486</v>
      </c>
      <c r="U172" s="1">
        <f t="shared" si="48"/>
        <v>0.12732164343525909</v>
      </c>
    </row>
    <row r="173" spans="1:25" x14ac:dyDescent="0.25">
      <c r="A173" t="s">
        <v>9</v>
      </c>
      <c r="B173">
        <v>1.44676191815384</v>
      </c>
      <c r="C173">
        <v>1.2833621412121199</v>
      </c>
      <c r="D173">
        <f t="shared" si="49"/>
        <v>0.16339977694172014</v>
      </c>
      <c r="E173" s="1">
        <f t="shared" si="50"/>
        <v>0.12732164343525909</v>
      </c>
      <c r="I173" t="s">
        <v>9</v>
      </c>
      <c r="J173" s="1">
        <f t="shared" si="51"/>
        <v>0.12732164343525909</v>
      </c>
      <c r="K173" s="1">
        <f t="shared" si="52"/>
        <v>0.12179297415134308</v>
      </c>
      <c r="U173" s="1">
        <f t="shared" si="48"/>
        <v>0.10137525604932408</v>
      </c>
    </row>
    <row r="174" spans="1:25" x14ac:dyDescent="0.25">
      <c r="A174" t="s">
        <v>10</v>
      </c>
      <c r="B174">
        <v>1.4986440264615299</v>
      </c>
      <c r="C174">
        <v>1.3607024656039799</v>
      </c>
      <c r="D174">
        <f t="shared" si="49"/>
        <v>0.13794156085755005</v>
      </c>
      <c r="E174" s="1">
        <f t="shared" si="50"/>
        <v>0.10137525604932408</v>
      </c>
      <c r="I174" t="s">
        <v>10</v>
      </c>
      <c r="J174" s="1">
        <f t="shared" si="51"/>
        <v>0.10137525604932408</v>
      </c>
      <c r="K174" s="1">
        <f t="shared" si="52"/>
        <v>0.10553823013408535</v>
      </c>
      <c r="U174" s="1">
        <f t="shared" si="48"/>
        <v>0.34052794080307552</v>
      </c>
    </row>
    <row r="175" spans="1:25" x14ac:dyDescent="0.25">
      <c r="A175" t="s">
        <v>11</v>
      </c>
      <c r="B175">
        <v>3.3669588319999901</v>
      </c>
      <c r="C175">
        <v>2.51166628424241</v>
      </c>
      <c r="D175">
        <f t="shared" si="49"/>
        <v>0.85529254775758012</v>
      </c>
      <c r="E175" s="1">
        <f t="shared" si="50"/>
        <v>0.34052794080307552</v>
      </c>
      <c r="I175" t="s">
        <v>11</v>
      </c>
      <c r="J175" s="1">
        <f t="shared" si="51"/>
        <v>0.34052794080307552</v>
      </c>
      <c r="K175" s="1">
        <f t="shared" si="52"/>
        <v>0.32826364740135822</v>
      </c>
      <c r="U175" s="1">
        <f t="shared" ref="U175:U184" si="53">K166</f>
        <v>0.1421297373014925</v>
      </c>
    </row>
    <row r="176" spans="1:25" x14ac:dyDescent="0.25">
      <c r="U176" s="1">
        <f t="shared" si="53"/>
        <v>0.14188241308937585</v>
      </c>
    </row>
    <row r="177" spans="1:25" x14ac:dyDescent="0.25">
      <c r="U177" s="1">
        <f t="shared" si="53"/>
        <v>0.1291393911526004</v>
      </c>
    </row>
    <row r="178" spans="1:25" x14ac:dyDescent="0.25">
      <c r="A178" t="s">
        <v>1</v>
      </c>
      <c r="B178" t="s">
        <v>14</v>
      </c>
      <c r="C178" t="s">
        <v>13</v>
      </c>
      <c r="I178" t="s">
        <v>19</v>
      </c>
      <c r="J178" s="2">
        <f>AVERAGE(J166:J175)</f>
        <v>0.15881311840269821</v>
      </c>
      <c r="K178" s="2">
        <f>AVERAGE(K166:K175)</f>
        <v>0.14828011178891742</v>
      </c>
      <c r="U178" s="1">
        <f t="shared" si="53"/>
        <v>0.12287046523480272</v>
      </c>
    </row>
    <row r="179" spans="1:25" x14ac:dyDescent="0.25">
      <c r="A179" t="s">
        <v>2</v>
      </c>
      <c r="B179">
        <v>1.36418317608057</v>
      </c>
      <c r="C179">
        <v>1.19442050366688</v>
      </c>
      <c r="D179">
        <f t="shared" ref="D179:D188" si="54">B179-C179</f>
        <v>0.16976267241369003</v>
      </c>
      <c r="E179" s="1">
        <f t="shared" ref="E179:E188" si="55">D179/C179</f>
        <v>0.1421297373014925</v>
      </c>
      <c r="N179" t="s">
        <v>20</v>
      </c>
      <c r="O179" s="2">
        <f>MIN(U165:U184)</f>
        <v>0.10137525604932408</v>
      </c>
      <c r="U179" s="1">
        <f t="shared" si="53"/>
        <v>0.13353467137424324</v>
      </c>
    </row>
    <row r="180" spans="1:25" x14ac:dyDescent="0.25">
      <c r="A180" t="s">
        <v>3</v>
      </c>
      <c r="B180">
        <v>1.3804972459517999</v>
      </c>
      <c r="C180">
        <v>1.20896620363637</v>
      </c>
      <c r="D180">
        <f t="shared" si="54"/>
        <v>0.17153104231542993</v>
      </c>
      <c r="E180" s="1">
        <f t="shared" si="55"/>
        <v>0.14188241308937585</v>
      </c>
      <c r="N180" t="s">
        <v>21</v>
      </c>
      <c r="O180" s="2">
        <f>MAX(U165:U184)</f>
        <v>0.34052794080307552</v>
      </c>
      <c r="U180" s="1">
        <f t="shared" si="53"/>
        <v>0.13207792108050798</v>
      </c>
    </row>
    <row r="181" spans="1:25" x14ac:dyDescent="0.25">
      <c r="A181" t="s">
        <v>4</v>
      </c>
      <c r="B181">
        <v>1.3825110716562501</v>
      </c>
      <c r="C181">
        <v>1.2243936244620901</v>
      </c>
      <c r="D181">
        <f t="shared" si="54"/>
        <v>0.15811744719415999</v>
      </c>
      <c r="E181" s="1">
        <f t="shared" si="55"/>
        <v>0.1291393911526004</v>
      </c>
      <c r="N181" t="s">
        <v>22</v>
      </c>
      <c r="O181" s="2">
        <f>AVERAGE(U165:U184)</f>
        <v>0.1535466150958078</v>
      </c>
      <c r="U181" s="1">
        <f t="shared" si="53"/>
        <v>0.12557166696936486</v>
      </c>
    </row>
    <row r="182" spans="1:25" x14ac:dyDescent="0.25">
      <c r="A182" t="s">
        <v>5</v>
      </c>
      <c r="B182">
        <v>1.3824417078923801</v>
      </c>
      <c r="C182">
        <v>1.2311675751515101</v>
      </c>
      <c r="D182">
        <f t="shared" si="54"/>
        <v>0.15127413274086998</v>
      </c>
      <c r="E182" s="1">
        <f t="shared" si="55"/>
        <v>0.12287046523480272</v>
      </c>
      <c r="U182" s="1">
        <f t="shared" si="53"/>
        <v>0.12179297415134308</v>
      </c>
    </row>
    <row r="183" spans="1:25" x14ac:dyDescent="0.25">
      <c r="A183" t="s">
        <v>6</v>
      </c>
      <c r="B183">
        <v>1.3987564968761801</v>
      </c>
      <c r="C183">
        <v>1.23397769137524</v>
      </c>
      <c r="D183">
        <f t="shared" si="54"/>
        <v>0.16477880550094004</v>
      </c>
      <c r="E183" s="1">
        <f t="shared" si="55"/>
        <v>0.13353467137424324</v>
      </c>
      <c r="U183" s="1">
        <f t="shared" si="53"/>
        <v>0.10553823013408535</v>
      </c>
    </row>
    <row r="184" spans="1:25" x14ac:dyDescent="0.25">
      <c r="A184" t="s">
        <v>7</v>
      </c>
      <c r="B184">
        <v>1.4046004647456301</v>
      </c>
      <c r="C184">
        <v>1.2407277260606</v>
      </c>
      <c r="D184">
        <f t="shared" si="54"/>
        <v>0.16387273868503005</v>
      </c>
      <c r="E184" s="1">
        <f t="shared" si="55"/>
        <v>0.13207792108050798</v>
      </c>
      <c r="U184" s="1">
        <f t="shared" si="53"/>
        <v>0.32826364740135822</v>
      </c>
    </row>
    <row r="185" spans="1:25" x14ac:dyDescent="0.25">
      <c r="A185" t="s">
        <v>8</v>
      </c>
      <c r="B185">
        <v>1.4027463846742301</v>
      </c>
      <c r="C185">
        <v>1.2462523940844801</v>
      </c>
      <c r="D185">
        <f t="shared" si="54"/>
        <v>0.15649399058975</v>
      </c>
      <c r="E185" s="1">
        <f t="shared" si="55"/>
        <v>0.12557166696936486</v>
      </c>
    </row>
    <row r="186" spans="1:25" x14ac:dyDescent="0.25">
      <c r="A186" t="s">
        <v>9</v>
      </c>
      <c r="B186">
        <v>1.4396666333035799</v>
      </c>
      <c r="C186">
        <v>1.2833621412121199</v>
      </c>
      <c r="D186">
        <f t="shared" si="54"/>
        <v>0.15630449209146002</v>
      </c>
      <c r="E186" s="1">
        <f t="shared" si="55"/>
        <v>0.12179297415134308</v>
      </c>
    </row>
    <row r="187" spans="1:25" x14ac:dyDescent="0.25">
      <c r="A187" t="s">
        <v>10</v>
      </c>
      <c r="B187">
        <v>1.5043085955629101</v>
      </c>
      <c r="C187">
        <v>1.3607024656039799</v>
      </c>
      <c r="D187">
        <f t="shared" si="54"/>
        <v>0.14360612995893018</v>
      </c>
      <c r="E187" s="1">
        <f t="shared" si="55"/>
        <v>0.10553823013408535</v>
      </c>
    </row>
    <row r="188" spans="1:25" x14ac:dyDescent="0.25">
      <c r="A188" t="s">
        <v>11</v>
      </c>
      <c r="B188">
        <v>3.33615501976284</v>
      </c>
      <c r="C188">
        <v>2.51166628424241</v>
      </c>
      <c r="D188">
        <f t="shared" si="54"/>
        <v>0.82448873552043001</v>
      </c>
      <c r="E188" s="1">
        <f t="shared" si="55"/>
        <v>0.32826364740135822</v>
      </c>
    </row>
    <row r="190" spans="1:25" x14ac:dyDescent="0.25">
      <c r="A190" s="6" t="s">
        <v>33</v>
      </c>
      <c r="B190" s="6"/>
    </row>
    <row r="192" spans="1:25" x14ac:dyDescent="0.25">
      <c r="A192" t="s">
        <v>1</v>
      </c>
      <c r="B192" t="s">
        <v>12</v>
      </c>
      <c r="C192" t="s">
        <v>13</v>
      </c>
      <c r="E192" t="s">
        <v>15</v>
      </c>
      <c r="I192" t="s">
        <v>16</v>
      </c>
      <c r="J192" t="s">
        <v>17</v>
      </c>
      <c r="K192" t="s">
        <v>18</v>
      </c>
      <c r="U192" s="1">
        <f t="shared" ref="U192:U201" si="56">J193</f>
        <v>0.8261735336320245</v>
      </c>
      <c r="W192" s="2">
        <f>O206</f>
        <v>0.57278265114600801</v>
      </c>
      <c r="X192" s="2">
        <f>O207</f>
        <v>0.8261735336320245</v>
      </c>
      <c r="Y192" s="2">
        <f>O208</f>
        <v>0.67854864940359527</v>
      </c>
    </row>
    <row r="193" spans="1:21" x14ac:dyDescent="0.25">
      <c r="A193" t="s">
        <v>2</v>
      </c>
      <c r="B193">
        <v>6.2362000000000002</v>
      </c>
      <c r="C193">
        <v>3.4148999999999998</v>
      </c>
      <c r="D193">
        <f t="shared" ref="D193:D202" si="57">B193-C193</f>
        <v>2.8213000000000004</v>
      </c>
      <c r="E193" s="1">
        <f t="shared" ref="E193:E202" si="58">D193/C193</f>
        <v>0.8261735336320245</v>
      </c>
      <c r="I193" t="s">
        <v>2</v>
      </c>
      <c r="J193" s="1">
        <f t="shared" ref="J193:J202" si="59">E193</f>
        <v>0.8261735336320245</v>
      </c>
      <c r="K193" s="1">
        <f t="shared" ref="K193:K202" si="60">E206</f>
        <v>0.64449032182494381</v>
      </c>
      <c r="U193" s="1">
        <f t="shared" si="56"/>
        <v>0.75185793269091317</v>
      </c>
    </row>
    <row r="194" spans="1:21" x14ac:dyDescent="0.25">
      <c r="A194" t="s">
        <v>3</v>
      </c>
      <c r="B194">
        <v>6.03932</v>
      </c>
      <c r="C194">
        <v>3.4473799999999999</v>
      </c>
      <c r="D194">
        <f t="shared" si="57"/>
        <v>2.5919400000000001</v>
      </c>
      <c r="E194" s="1">
        <f t="shared" si="58"/>
        <v>0.75185793269091317</v>
      </c>
      <c r="I194" t="s">
        <v>3</v>
      </c>
      <c r="J194" s="1">
        <f t="shared" si="59"/>
        <v>0.75185793269091317</v>
      </c>
      <c r="K194" s="1">
        <f t="shared" si="60"/>
        <v>0.68668960195858886</v>
      </c>
      <c r="U194" s="1">
        <f t="shared" si="56"/>
        <v>0.75038453861237331</v>
      </c>
    </row>
    <row r="195" spans="1:21" x14ac:dyDescent="0.25">
      <c r="A195" t="s">
        <v>4</v>
      </c>
      <c r="B195">
        <v>5.9630000000000001</v>
      </c>
      <c r="C195">
        <v>3.4066800000000002</v>
      </c>
      <c r="D195">
        <f t="shared" si="57"/>
        <v>2.5563199999999999</v>
      </c>
      <c r="E195" s="1">
        <f t="shared" si="58"/>
        <v>0.75038453861237331</v>
      </c>
      <c r="I195" t="s">
        <v>4</v>
      </c>
      <c r="J195" s="1">
        <f t="shared" si="59"/>
        <v>0.75038453861237331</v>
      </c>
      <c r="K195" s="1">
        <f t="shared" si="60"/>
        <v>0.62312867660009164</v>
      </c>
      <c r="U195" s="1">
        <f t="shared" si="56"/>
        <v>0.71593885169165128</v>
      </c>
    </row>
    <row r="196" spans="1:21" x14ac:dyDescent="0.25">
      <c r="A196" t="s">
        <v>5</v>
      </c>
      <c r="B196">
        <v>5.7919799999999997</v>
      </c>
      <c r="C196">
        <v>3.3754</v>
      </c>
      <c r="D196">
        <f t="shared" si="57"/>
        <v>2.4165799999999997</v>
      </c>
      <c r="E196" s="1">
        <f t="shared" si="58"/>
        <v>0.71593885169165128</v>
      </c>
      <c r="I196" t="s">
        <v>5</v>
      </c>
      <c r="J196" s="1">
        <f t="shared" si="59"/>
        <v>0.71593885169165128</v>
      </c>
      <c r="K196" s="1">
        <f t="shared" si="60"/>
        <v>0.58870652367126863</v>
      </c>
      <c r="U196" s="1">
        <f t="shared" si="56"/>
        <v>0.73741455245451248</v>
      </c>
    </row>
    <row r="197" spans="1:21" x14ac:dyDescent="0.25">
      <c r="A197" t="s">
        <v>6</v>
      </c>
      <c r="B197">
        <v>5.8305199999999999</v>
      </c>
      <c r="C197">
        <v>3.3558599999999998</v>
      </c>
      <c r="D197">
        <f t="shared" si="57"/>
        <v>2.4746600000000001</v>
      </c>
      <c r="E197" s="1">
        <f t="shared" si="58"/>
        <v>0.73741455245451248</v>
      </c>
      <c r="I197" t="s">
        <v>6</v>
      </c>
      <c r="J197" s="1">
        <f t="shared" si="59"/>
        <v>0.73741455245451248</v>
      </c>
      <c r="K197" s="1">
        <f t="shared" si="60"/>
        <v>0.64372470842049445</v>
      </c>
      <c r="U197" s="1">
        <f t="shared" si="56"/>
        <v>0.75133433202665956</v>
      </c>
    </row>
    <row r="198" spans="1:21" x14ac:dyDescent="0.25">
      <c r="A198" t="s">
        <v>7</v>
      </c>
      <c r="B198">
        <v>5.8571099999999996</v>
      </c>
      <c r="C198">
        <v>3.3443700000000001</v>
      </c>
      <c r="D198">
        <f t="shared" si="57"/>
        <v>2.5127399999999995</v>
      </c>
      <c r="E198" s="1">
        <f t="shared" si="58"/>
        <v>0.75133433202665956</v>
      </c>
      <c r="I198" t="s">
        <v>7</v>
      </c>
      <c r="J198" s="1">
        <f t="shared" si="59"/>
        <v>0.75133433202665956</v>
      </c>
      <c r="K198" s="1">
        <f t="shared" si="60"/>
        <v>0.6690079147941167</v>
      </c>
      <c r="U198" s="1">
        <f t="shared" si="56"/>
        <v>0.8072131290401896</v>
      </c>
    </row>
    <row r="199" spans="1:21" x14ac:dyDescent="0.25">
      <c r="A199" t="s">
        <v>8</v>
      </c>
      <c r="B199">
        <v>5.8066300000000002</v>
      </c>
      <c r="C199">
        <v>3.2130299999999998</v>
      </c>
      <c r="D199">
        <f t="shared" si="57"/>
        <v>2.5936000000000003</v>
      </c>
      <c r="E199" s="1">
        <f t="shared" si="58"/>
        <v>0.8072131290401896</v>
      </c>
      <c r="I199" t="s">
        <v>8</v>
      </c>
      <c r="J199" s="1">
        <f t="shared" si="59"/>
        <v>0.8072131290401896</v>
      </c>
      <c r="K199" s="1">
        <f t="shared" si="60"/>
        <v>0.67525046451480386</v>
      </c>
      <c r="U199" s="1">
        <f t="shared" si="56"/>
        <v>0.67469026228628781</v>
      </c>
    </row>
    <row r="200" spans="1:21" x14ac:dyDescent="0.25">
      <c r="A200" t="s">
        <v>9</v>
      </c>
      <c r="B200">
        <v>5.5568400000000002</v>
      </c>
      <c r="C200">
        <v>3.31813</v>
      </c>
      <c r="D200">
        <f t="shared" si="57"/>
        <v>2.2387100000000002</v>
      </c>
      <c r="E200" s="1">
        <f t="shared" si="58"/>
        <v>0.67469026228628781</v>
      </c>
      <c r="I200" t="s">
        <v>9</v>
      </c>
      <c r="J200" s="1">
        <f t="shared" si="59"/>
        <v>0.67469026228628781</v>
      </c>
      <c r="K200" s="1">
        <f t="shared" si="60"/>
        <v>0.623031647343534</v>
      </c>
      <c r="U200" s="1">
        <f t="shared" si="56"/>
        <v>0.57278265114600801</v>
      </c>
    </row>
    <row r="201" spans="1:21" x14ac:dyDescent="0.25">
      <c r="A201" t="s">
        <v>10</v>
      </c>
      <c r="B201">
        <v>5.1869899999999998</v>
      </c>
      <c r="C201">
        <v>3.2979699999999998</v>
      </c>
      <c r="D201">
        <f t="shared" si="57"/>
        <v>1.8890199999999999</v>
      </c>
      <c r="E201" s="1">
        <f t="shared" si="58"/>
        <v>0.57278265114600801</v>
      </c>
      <c r="I201" t="s">
        <v>10</v>
      </c>
      <c r="J201" s="1">
        <f t="shared" si="59"/>
        <v>0.57278265114600801</v>
      </c>
      <c r="K201" s="1">
        <f t="shared" si="60"/>
        <v>0.59353481080786052</v>
      </c>
      <c r="U201" s="1">
        <f t="shared" si="56"/>
        <v>0.60676099035040709</v>
      </c>
    </row>
    <row r="202" spans="1:21" x14ac:dyDescent="0.25">
      <c r="A202" t="s">
        <v>11</v>
      </c>
      <c r="B202">
        <v>13.3142</v>
      </c>
      <c r="C202">
        <v>8.2863600000000002</v>
      </c>
      <c r="D202">
        <f t="shared" si="57"/>
        <v>5.0278399999999994</v>
      </c>
      <c r="E202" s="1">
        <f t="shared" si="58"/>
        <v>0.60676099035040709</v>
      </c>
      <c r="I202" t="s">
        <v>11</v>
      </c>
      <c r="J202" s="1">
        <f t="shared" si="59"/>
        <v>0.60676099035040709</v>
      </c>
      <c r="K202" s="1">
        <f t="shared" si="60"/>
        <v>0.62885754420517559</v>
      </c>
      <c r="U202" s="1">
        <f t="shared" ref="U202:U211" si="61">K193</f>
        <v>0.64449032182494381</v>
      </c>
    </row>
    <row r="203" spans="1:21" x14ac:dyDescent="0.25">
      <c r="U203" s="1">
        <f t="shared" si="61"/>
        <v>0.68668960195858886</v>
      </c>
    </row>
    <row r="204" spans="1:21" x14ac:dyDescent="0.25">
      <c r="U204" s="1">
        <f t="shared" si="61"/>
        <v>0.62312867660009164</v>
      </c>
    </row>
    <row r="205" spans="1:21" x14ac:dyDescent="0.25">
      <c r="A205" t="s">
        <v>1</v>
      </c>
      <c r="B205" t="s">
        <v>14</v>
      </c>
      <c r="C205" t="s">
        <v>13</v>
      </c>
      <c r="I205" t="s">
        <v>19</v>
      </c>
      <c r="J205" s="2">
        <f>AVERAGE(J193:J202)</f>
        <v>0.71945507739310277</v>
      </c>
      <c r="K205" s="2">
        <f>AVERAGE(K193:K202)</f>
        <v>0.63764222141408788</v>
      </c>
      <c r="U205" s="1">
        <f t="shared" si="61"/>
        <v>0.58870652367126863</v>
      </c>
    </row>
    <row r="206" spans="1:21" x14ac:dyDescent="0.25">
      <c r="A206" t="s">
        <v>2</v>
      </c>
      <c r="B206">
        <v>5.6157700000000004</v>
      </c>
      <c r="C206">
        <v>3.4148999999999998</v>
      </c>
      <c r="D206">
        <f t="shared" ref="D206:D215" si="62">B206-C206</f>
        <v>2.2008700000000005</v>
      </c>
      <c r="E206" s="1">
        <f t="shared" ref="E206:E215" si="63">D206/C206</f>
        <v>0.64449032182494381</v>
      </c>
      <c r="N206" t="s">
        <v>20</v>
      </c>
      <c r="O206" s="2">
        <f>MIN(U192:U211)</f>
        <v>0.57278265114600801</v>
      </c>
      <c r="U206" s="1">
        <f t="shared" si="61"/>
        <v>0.64372470842049445</v>
      </c>
    </row>
    <row r="207" spans="1:21" x14ac:dyDescent="0.25">
      <c r="A207" t="s">
        <v>3</v>
      </c>
      <c r="B207">
        <v>5.8146599999999999</v>
      </c>
      <c r="C207">
        <v>3.4473799999999999</v>
      </c>
      <c r="D207">
        <f t="shared" si="62"/>
        <v>2.3672800000000001</v>
      </c>
      <c r="E207" s="1">
        <f t="shared" si="63"/>
        <v>0.68668960195858886</v>
      </c>
      <c r="N207" t="s">
        <v>21</v>
      </c>
      <c r="O207" s="2">
        <f>MAX(U192:U211)</f>
        <v>0.8261735336320245</v>
      </c>
      <c r="U207" s="1">
        <f t="shared" si="61"/>
        <v>0.6690079147941167</v>
      </c>
    </row>
    <row r="208" spans="1:21" x14ac:dyDescent="0.25">
      <c r="A208" t="s">
        <v>4</v>
      </c>
      <c r="B208">
        <v>5.5294800000000004</v>
      </c>
      <c r="C208">
        <v>3.4066800000000002</v>
      </c>
      <c r="D208">
        <f t="shared" si="62"/>
        <v>2.1228000000000002</v>
      </c>
      <c r="E208" s="1">
        <f t="shared" si="63"/>
        <v>0.62312867660009164</v>
      </c>
      <c r="N208" t="s">
        <v>22</v>
      </c>
      <c r="O208" s="2">
        <f>AVERAGE(U192:U211)</f>
        <v>0.67854864940359527</v>
      </c>
      <c r="U208" s="1">
        <f t="shared" si="61"/>
        <v>0.67525046451480386</v>
      </c>
    </row>
    <row r="209" spans="1:25" x14ac:dyDescent="0.25">
      <c r="A209" t="s">
        <v>5</v>
      </c>
      <c r="B209">
        <v>5.36252</v>
      </c>
      <c r="C209">
        <v>3.3754</v>
      </c>
      <c r="D209">
        <f t="shared" si="62"/>
        <v>1.98712</v>
      </c>
      <c r="E209" s="1">
        <f t="shared" si="63"/>
        <v>0.58870652367126863</v>
      </c>
      <c r="U209" s="1">
        <f t="shared" si="61"/>
        <v>0.623031647343534</v>
      </c>
    </row>
    <row r="210" spans="1:25" x14ac:dyDescent="0.25">
      <c r="A210" t="s">
        <v>6</v>
      </c>
      <c r="B210">
        <v>5.5161100000000003</v>
      </c>
      <c r="C210">
        <v>3.3558599999999998</v>
      </c>
      <c r="D210">
        <f t="shared" si="62"/>
        <v>2.1602500000000004</v>
      </c>
      <c r="E210" s="1">
        <f t="shared" si="63"/>
        <v>0.64372470842049445</v>
      </c>
      <c r="U210" s="1">
        <f t="shared" si="61"/>
        <v>0.59353481080786052</v>
      </c>
    </row>
    <row r="211" spans="1:25" x14ac:dyDescent="0.25">
      <c r="A211" t="s">
        <v>7</v>
      </c>
      <c r="B211">
        <v>5.5817800000000002</v>
      </c>
      <c r="C211">
        <v>3.3443700000000001</v>
      </c>
      <c r="D211">
        <f t="shared" si="62"/>
        <v>2.2374100000000001</v>
      </c>
      <c r="E211" s="1">
        <f t="shared" si="63"/>
        <v>0.6690079147941167</v>
      </c>
      <c r="U211" s="1">
        <f t="shared" si="61"/>
        <v>0.62885754420517559</v>
      </c>
    </row>
    <row r="212" spans="1:25" x14ac:dyDescent="0.25">
      <c r="A212" t="s">
        <v>8</v>
      </c>
      <c r="B212">
        <v>5.3826299999999998</v>
      </c>
      <c r="C212">
        <v>3.2130299999999998</v>
      </c>
      <c r="D212">
        <f t="shared" si="62"/>
        <v>2.1696</v>
      </c>
      <c r="E212" s="1">
        <f t="shared" si="63"/>
        <v>0.67525046451480386</v>
      </c>
    </row>
    <row r="213" spans="1:25" x14ac:dyDescent="0.25">
      <c r="A213" t="s">
        <v>9</v>
      </c>
      <c r="B213">
        <v>5.3854300000000004</v>
      </c>
      <c r="C213">
        <v>3.31813</v>
      </c>
      <c r="D213">
        <f t="shared" si="62"/>
        <v>2.0673000000000004</v>
      </c>
      <c r="E213" s="1">
        <f t="shared" si="63"/>
        <v>0.623031647343534</v>
      </c>
    </row>
    <row r="214" spans="1:25" x14ac:dyDescent="0.25">
      <c r="A214" t="s">
        <v>10</v>
      </c>
      <c r="B214">
        <v>5.2554299999999996</v>
      </c>
      <c r="C214">
        <v>3.2979699999999998</v>
      </c>
      <c r="D214">
        <f t="shared" si="62"/>
        <v>1.9574599999999998</v>
      </c>
      <c r="E214" s="1">
        <f t="shared" si="63"/>
        <v>0.59353481080786052</v>
      </c>
    </row>
    <row r="215" spans="1:25" x14ac:dyDescent="0.25">
      <c r="A215" t="s">
        <v>11</v>
      </c>
      <c r="B215">
        <v>13.497299999999999</v>
      </c>
      <c r="C215">
        <v>8.2863600000000002</v>
      </c>
      <c r="D215">
        <f t="shared" si="62"/>
        <v>5.210939999999999</v>
      </c>
      <c r="E215" s="1">
        <f t="shared" si="63"/>
        <v>0.62885754420517559</v>
      </c>
    </row>
    <row r="217" spans="1:25" x14ac:dyDescent="0.25">
      <c r="A217" s="6" t="s">
        <v>0</v>
      </c>
      <c r="B217" s="6"/>
    </row>
    <row r="219" spans="1:25" x14ac:dyDescent="0.25">
      <c r="A219" t="s">
        <v>1</v>
      </c>
      <c r="B219" t="s">
        <v>12</v>
      </c>
      <c r="C219" t="s">
        <v>13</v>
      </c>
      <c r="E219" t="s">
        <v>15</v>
      </c>
      <c r="I219" t="s">
        <v>16</v>
      </c>
      <c r="J219" t="s">
        <v>17</v>
      </c>
      <c r="K219" t="s">
        <v>18</v>
      </c>
      <c r="U219" s="1">
        <f t="shared" ref="U219:U228" si="64">J220</f>
        <v>0.32772851898315153</v>
      </c>
      <c r="W219" s="2">
        <f>O233</f>
        <v>0.22475787854791598</v>
      </c>
      <c r="X219" s="2">
        <f>O234</f>
        <v>0.45582189016296143</v>
      </c>
      <c r="Y219" s="2">
        <f>O235</f>
        <v>0.30945027971946171</v>
      </c>
    </row>
    <row r="220" spans="1:25" x14ac:dyDescent="0.25">
      <c r="A220" t="s">
        <v>2</v>
      </c>
      <c r="B220">
        <v>1.7563636212701701</v>
      </c>
      <c r="C220">
        <v>1.3228333926391</v>
      </c>
      <c r="D220">
        <f t="shared" ref="D220:D229" si="65">B220-C220</f>
        <v>0.43353022863107005</v>
      </c>
      <c r="E220" s="1">
        <f t="shared" ref="E220:E229" si="66">D220/C220</f>
        <v>0.32772851898315153</v>
      </c>
      <c r="I220" t="s">
        <v>2</v>
      </c>
      <c r="J220" s="1">
        <f t="shared" ref="J220:J229" si="67">E220</f>
        <v>0.32772851898315153</v>
      </c>
      <c r="K220" s="1">
        <f t="shared" ref="K220:K229" si="68">E233</f>
        <v>0.32796590511434326</v>
      </c>
      <c r="U220" s="1">
        <f t="shared" si="64"/>
        <v>0.30900304035455523</v>
      </c>
    </row>
    <row r="221" spans="1:25" x14ac:dyDescent="0.25">
      <c r="A221" t="s">
        <v>3</v>
      </c>
      <c r="B221">
        <v>1.77241673052362</v>
      </c>
      <c r="C221">
        <v>1.35402033141462</v>
      </c>
      <c r="D221">
        <f t="shared" si="65"/>
        <v>0.41839639910900006</v>
      </c>
      <c r="E221" s="1">
        <f t="shared" si="66"/>
        <v>0.30900304035455523</v>
      </c>
      <c r="I221" t="s">
        <v>3</v>
      </c>
      <c r="J221" s="1">
        <f t="shared" si="67"/>
        <v>0.30900304035455523</v>
      </c>
      <c r="K221" s="1">
        <f t="shared" si="68"/>
        <v>0.29978037390264639</v>
      </c>
      <c r="U221" s="1">
        <f t="shared" si="64"/>
        <v>0.31232376883701263</v>
      </c>
    </row>
    <row r="222" spans="1:25" x14ac:dyDescent="0.25">
      <c r="A222" t="s">
        <v>4</v>
      </c>
      <c r="B222">
        <v>1.77204874433995</v>
      </c>
      <c r="C222">
        <v>1.35031368509796</v>
      </c>
      <c r="D222">
        <f t="shared" si="65"/>
        <v>0.42173505924198995</v>
      </c>
      <c r="E222" s="1">
        <f t="shared" si="66"/>
        <v>0.31232376883701263</v>
      </c>
      <c r="I222" t="s">
        <v>4</v>
      </c>
      <c r="J222" s="1">
        <f t="shared" si="67"/>
        <v>0.31232376883701263</v>
      </c>
      <c r="K222" s="1">
        <f t="shared" si="68"/>
        <v>0.30832384516790756</v>
      </c>
      <c r="U222" s="1">
        <f t="shared" si="64"/>
        <v>0.31128471973168664</v>
      </c>
    </row>
    <row r="223" spans="1:25" x14ac:dyDescent="0.25">
      <c r="A223" t="s">
        <v>5</v>
      </c>
      <c r="B223">
        <v>1.7912035556716499</v>
      </c>
      <c r="C223">
        <v>1.36599132798418</v>
      </c>
      <c r="D223">
        <f t="shared" si="65"/>
        <v>0.42521222768746991</v>
      </c>
      <c r="E223" s="1">
        <f t="shared" si="66"/>
        <v>0.31128471973168664</v>
      </c>
      <c r="I223" t="s">
        <v>5</v>
      </c>
      <c r="J223" s="1">
        <f t="shared" si="67"/>
        <v>0.31128471973168664</v>
      </c>
      <c r="K223" s="1">
        <f t="shared" si="68"/>
        <v>0.29677025489192926</v>
      </c>
      <c r="U223" s="1">
        <f t="shared" si="64"/>
        <v>0.31068745090915056</v>
      </c>
    </row>
    <row r="224" spans="1:25" x14ac:dyDescent="0.25">
      <c r="A224" t="s">
        <v>6</v>
      </c>
      <c r="B224">
        <v>1.7939493550447001</v>
      </c>
      <c r="C224">
        <v>1.3687087289958699</v>
      </c>
      <c r="D224">
        <f t="shared" si="65"/>
        <v>0.42524062604883017</v>
      </c>
      <c r="E224" s="1">
        <f t="shared" si="66"/>
        <v>0.31068745090915056</v>
      </c>
      <c r="I224" t="s">
        <v>6</v>
      </c>
      <c r="J224" s="1">
        <f t="shared" si="67"/>
        <v>0.31068745090915056</v>
      </c>
      <c r="K224" s="1">
        <f t="shared" si="68"/>
        <v>0.29181067833689928</v>
      </c>
      <c r="U224" s="1">
        <f t="shared" si="64"/>
        <v>0.31456366798107382</v>
      </c>
    </row>
    <row r="225" spans="1:21" x14ac:dyDescent="0.25">
      <c r="A225" t="s">
        <v>7</v>
      </c>
      <c r="B225">
        <v>1.81279247823058</v>
      </c>
      <c r="C225">
        <v>1.3790069833701499</v>
      </c>
      <c r="D225">
        <f t="shared" si="65"/>
        <v>0.43378549486043005</v>
      </c>
      <c r="E225" s="1">
        <f t="shared" si="66"/>
        <v>0.31456366798107382</v>
      </c>
      <c r="I225" t="s">
        <v>7</v>
      </c>
      <c r="J225" s="1">
        <f t="shared" si="67"/>
        <v>0.31456366798107382</v>
      </c>
      <c r="K225" s="1">
        <f t="shared" si="68"/>
        <v>0.30275869577657821</v>
      </c>
      <c r="U225" s="1">
        <f t="shared" si="64"/>
        <v>0.27815337152513075</v>
      </c>
    </row>
    <row r="226" spans="1:21" x14ac:dyDescent="0.25">
      <c r="A226" t="s">
        <v>8</v>
      </c>
      <c r="B226">
        <v>1.7783158473149401</v>
      </c>
      <c r="C226">
        <v>1.3913164780788401</v>
      </c>
      <c r="D226">
        <f t="shared" si="65"/>
        <v>0.38699936923610001</v>
      </c>
      <c r="E226" s="1">
        <f t="shared" si="66"/>
        <v>0.27815337152513075</v>
      </c>
      <c r="I226" t="s">
        <v>8</v>
      </c>
      <c r="J226" s="1">
        <f t="shared" si="67"/>
        <v>0.27815337152513075</v>
      </c>
      <c r="K226" s="1">
        <f t="shared" si="68"/>
        <v>0.29376961315170963</v>
      </c>
      <c r="U226" s="1">
        <f t="shared" si="64"/>
        <v>0.26377534432012389</v>
      </c>
    </row>
    <row r="227" spans="1:21" x14ac:dyDescent="0.25">
      <c r="A227" t="s">
        <v>9</v>
      </c>
      <c r="B227">
        <v>1.8157206107047399</v>
      </c>
      <c r="C227">
        <v>1.43674318292825</v>
      </c>
      <c r="D227">
        <f t="shared" si="65"/>
        <v>0.37897742777648991</v>
      </c>
      <c r="E227" s="1">
        <f t="shared" si="66"/>
        <v>0.26377534432012389</v>
      </c>
      <c r="I227" t="s">
        <v>9</v>
      </c>
      <c r="J227" s="1">
        <f t="shared" si="67"/>
        <v>0.26377534432012389</v>
      </c>
      <c r="K227" s="1">
        <f t="shared" si="68"/>
        <v>0.27296849197137663</v>
      </c>
      <c r="U227" s="1">
        <f t="shared" si="64"/>
        <v>0.22475787854791598</v>
      </c>
    </row>
    <row r="228" spans="1:21" x14ac:dyDescent="0.25">
      <c r="A228" t="s">
        <v>10</v>
      </c>
      <c r="B228">
        <v>1.8621934511784499</v>
      </c>
      <c r="C228">
        <v>1.52045843819048</v>
      </c>
      <c r="D228">
        <f t="shared" si="65"/>
        <v>0.34173501298796993</v>
      </c>
      <c r="E228" s="1">
        <f t="shared" si="66"/>
        <v>0.22475787854791598</v>
      </c>
      <c r="I228" t="s">
        <v>10</v>
      </c>
      <c r="J228" s="1">
        <f t="shared" si="67"/>
        <v>0.22475787854791598</v>
      </c>
      <c r="K228" s="1">
        <f t="shared" si="68"/>
        <v>0.23146425745020641</v>
      </c>
      <c r="U228" s="1">
        <f t="shared" si="64"/>
        <v>0.45529382727287343</v>
      </c>
    </row>
    <row r="229" spans="1:21" x14ac:dyDescent="0.25">
      <c r="A229" t="s">
        <v>11</v>
      </c>
      <c r="B229">
        <v>4.3907733490072998</v>
      </c>
      <c r="C229">
        <v>3.01710435839292</v>
      </c>
      <c r="D229">
        <f t="shared" si="65"/>
        <v>1.3736689906143797</v>
      </c>
      <c r="E229" s="1">
        <f t="shared" si="66"/>
        <v>0.45529382727287343</v>
      </c>
      <c r="I229" t="s">
        <v>11</v>
      </c>
      <c r="J229" s="1">
        <f t="shared" si="67"/>
        <v>0.45529382727287343</v>
      </c>
      <c r="K229" s="1">
        <f t="shared" si="68"/>
        <v>0.45582189016296143</v>
      </c>
      <c r="U229" s="1">
        <f t="shared" ref="U229:U238" si="69">K220</f>
        <v>0.32796590511434326</v>
      </c>
    </row>
    <row r="230" spans="1:21" x14ac:dyDescent="0.25">
      <c r="U230" s="1">
        <f t="shared" si="69"/>
        <v>0.29978037390264639</v>
      </c>
    </row>
    <row r="231" spans="1:21" x14ac:dyDescent="0.25">
      <c r="U231" s="1">
        <f t="shared" si="69"/>
        <v>0.30832384516790756</v>
      </c>
    </row>
    <row r="232" spans="1:21" x14ac:dyDescent="0.25">
      <c r="A232" t="s">
        <v>1</v>
      </c>
      <c r="B232" t="s">
        <v>14</v>
      </c>
      <c r="C232" t="s">
        <v>13</v>
      </c>
      <c r="I232" t="s">
        <v>19</v>
      </c>
      <c r="J232" s="2">
        <f>AVERAGE(J220:J229)</f>
        <v>0.31075715884626748</v>
      </c>
      <c r="K232" s="2">
        <f>AVERAGE(K220:K229)</f>
        <v>0.30814340059265583</v>
      </c>
      <c r="U232" s="1">
        <f t="shared" si="69"/>
        <v>0.29677025489192926</v>
      </c>
    </row>
    <row r="233" spans="1:21" x14ac:dyDescent="0.25">
      <c r="A233" t="s">
        <v>2</v>
      </c>
      <c r="B233">
        <v>1.7566776435714599</v>
      </c>
      <c r="C233">
        <v>1.3228333926391</v>
      </c>
      <c r="D233">
        <f t="shared" ref="D233:D242" si="70">B233-C233</f>
        <v>0.4338442509323599</v>
      </c>
      <c r="E233" s="1">
        <f t="shared" ref="E233:E242" si="71">D233/C233</f>
        <v>0.32796590511434326</v>
      </c>
      <c r="N233" t="s">
        <v>20</v>
      </c>
      <c r="O233" s="2">
        <f>MIN(U219:U238)</f>
        <v>0.22475787854791598</v>
      </c>
      <c r="U233" s="1">
        <f t="shared" si="69"/>
        <v>0.29181067833689928</v>
      </c>
    </row>
    <row r="234" spans="1:21" x14ac:dyDescent="0.25">
      <c r="A234" t="s">
        <v>3</v>
      </c>
      <c r="B234">
        <v>1.7599290526378799</v>
      </c>
      <c r="C234">
        <v>1.35402033141462</v>
      </c>
      <c r="D234">
        <f t="shared" si="70"/>
        <v>0.40590872122325994</v>
      </c>
      <c r="E234" s="1">
        <f t="shared" si="71"/>
        <v>0.29978037390264639</v>
      </c>
      <c r="N234" t="s">
        <v>21</v>
      </c>
      <c r="O234" s="2">
        <f>MAX(U219:U238)</f>
        <v>0.45582189016296143</v>
      </c>
      <c r="U234" s="1">
        <f t="shared" si="69"/>
        <v>0.30275869577657821</v>
      </c>
    </row>
    <row r="235" spans="1:21" x14ac:dyDescent="0.25">
      <c r="A235" t="s">
        <v>4</v>
      </c>
      <c r="B235">
        <v>1.7666475926702101</v>
      </c>
      <c r="C235">
        <v>1.35031368509796</v>
      </c>
      <c r="D235">
        <f t="shared" si="70"/>
        <v>0.41633390757225008</v>
      </c>
      <c r="E235" s="1">
        <f t="shared" si="71"/>
        <v>0.30832384516790756</v>
      </c>
      <c r="N235" t="s">
        <v>22</v>
      </c>
      <c r="O235" s="2">
        <f>AVERAGE(U219:U238)</f>
        <v>0.30945027971946171</v>
      </c>
      <c r="U235" s="1">
        <f t="shared" si="69"/>
        <v>0.29376961315170963</v>
      </c>
    </row>
    <row r="236" spans="1:21" x14ac:dyDescent="0.25">
      <c r="A236" t="s">
        <v>5</v>
      </c>
      <c r="B236">
        <v>1.7713769225702101</v>
      </c>
      <c r="C236">
        <v>1.36599132798418</v>
      </c>
      <c r="D236">
        <f t="shared" si="70"/>
        <v>0.40538559458603007</v>
      </c>
      <c r="E236" s="1">
        <f t="shared" si="71"/>
        <v>0.29677025489192926</v>
      </c>
      <c r="U236" s="1">
        <f t="shared" si="69"/>
        <v>0.27296849197137663</v>
      </c>
    </row>
    <row r="237" spans="1:21" x14ac:dyDescent="0.25">
      <c r="A237" t="s">
        <v>6</v>
      </c>
      <c r="B237">
        <v>1.76811255164979</v>
      </c>
      <c r="C237">
        <v>1.3687087289958699</v>
      </c>
      <c r="D237">
        <f t="shared" si="70"/>
        <v>0.39940382265392005</v>
      </c>
      <c r="E237" s="1">
        <f t="shared" si="71"/>
        <v>0.29181067833689928</v>
      </c>
      <c r="U237" s="1">
        <f t="shared" si="69"/>
        <v>0.23146425745020641</v>
      </c>
    </row>
    <row r="238" spans="1:21" x14ac:dyDescent="0.25">
      <c r="A238" t="s">
        <v>7</v>
      </c>
      <c r="B238">
        <v>1.79651333912209</v>
      </c>
      <c r="C238">
        <v>1.3790069833701499</v>
      </c>
      <c r="D238">
        <f t="shared" si="70"/>
        <v>0.41750635575194006</v>
      </c>
      <c r="E238" s="1">
        <f t="shared" si="71"/>
        <v>0.30275869577657821</v>
      </c>
      <c r="U238" s="1">
        <f t="shared" si="69"/>
        <v>0.45582189016296143</v>
      </c>
    </row>
    <row r="239" spans="1:21" x14ac:dyDescent="0.25">
      <c r="A239" t="s">
        <v>8</v>
      </c>
      <c r="B239">
        <v>1.80004298161566</v>
      </c>
      <c r="C239">
        <v>1.3913164780788401</v>
      </c>
      <c r="D239">
        <f t="shared" si="70"/>
        <v>0.40872650353681994</v>
      </c>
      <c r="E239" s="1">
        <f t="shared" si="71"/>
        <v>0.29376961315170963</v>
      </c>
    </row>
    <row r="240" spans="1:21" x14ac:dyDescent="0.25">
      <c r="A240" t="s">
        <v>9</v>
      </c>
      <c r="B240">
        <v>1.8289288029223301</v>
      </c>
      <c r="C240">
        <v>1.43674318292825</v>
      </c>
      <c r="D240">
        <f t="shared" si="70"/>
        <v>0.39218561999408008</v>
      </c>
      <c r="E240" s="1">
        <f t="shared" si="71"/>
        <v>0.27296849197137663</v>
      </c>
    </row>
    <row r="241" spans="1:25" x14ac:dyDescent="0.25">
      <c r="A241" t="s">
        <v>10</v>
      </c>
      <c r="B241">
        <v>1.87239022157014</v>
      </c>
      <c r="C241">
        <v>1.52045843819048</v>
      </c>
      <c r="D241">
        <f t="shared" si="70"/>
        <v>0.35193178337966002</v>
      </c>
      <c r="E241" s="1">
        <f t="shared" si="71"/>
        <v>0.23146425745020641</v>
      </c>
    </row>
    <row r="242" spans="1:25" x14ac:dyDescent="0.25">
      <c r="A242" t="s">
        <v>11</v>
      </c>
      <c r="B242">
        <v>4.3923665698544898</v>
      </c>
      <c r="C242">
        <v>3.01710435839292</v>
      </c>
      <c r="D242">
        <f t="shared" si="70"/>
        <v>1.3752622114615698</v>
      </c>
      <c r="E242" s="1">
        <f t="shared" si="71"/>
        <v>0.45582189016296143</v>
      </c>
    </row>
    <row r="244" spans="1:25" x14ac:dyDescent="0.25">
      <c r="A244" s="6" t="s">
        <v>34</v>
      </c>
      <c r="B244" s="6"/>
    </row>
    <row r="246" spans="1:25" x14ac:dyDescent="0.25">
      <c r="A246" t="s">
        <v>1</v>
      </c>
      <c r="B246" t="s">
        <v>12</v>
      </c>
      <c r="C246" t="s">
        <v>13</v>
      </c>
      <c r="E246" t="s">
        <v>15</v>
      </c>
      <c r="I246" t="s">
        <v>16</v>
      </c>
      <c r="J246" t="s">
        <v>17</v>
      </c>
      <c r="K246" t="s">
        <v>18</v>
      </c>
      <c r="U246" s="1">
        <f t="shared" ref="U246:U255" si="72">J247</f>
        <v>1.1589263632845317</v>
      </c>
      <c r="W246" s="2">
        <f>O260</f>
        <v>0.8316880140135936</v>
      </c>
      <c r="X246" s="2">
        <f>O261</f>
        <v>1.3122784060046417</v>
      </c>
      <c r="Y246" s="2">
        <f>O262</f>
        <v>1.1244887647492898</v>
      </c>
    </row>
    <row r="247" spans="1:25" x14ac:dyDescent="0.25">
      <c r="A247" t="s">
        <v>2</v>
      </c>
      <c r="B247">
        <v>9.1485800000000008</v>
      </c>
      <c r="C247">
        <v>4.2375600000000002</v>
      </c>
      <c r="D247">
        <f t="shared" ref="D247:D256" si="73">B247-C247</f>
        <v>4.9110200000000006</v>
      </c>
      <c r="E247" s="1">
        <f t="shared" ref="E247:E256" si="74">D247/C247</f>
        <v>1.1589263632845317</v>
      </c>
      <c r="I247" t="s">
        <v>2</v>
      </c>
      <c r="J247" s="1">
        <f t="shared" ref="J247:J256" si="75">E247</f>
        <v>1.1589263632845317</v>
      </c>
      <c r="K247" s="1">
        <f t="shared" ref="K247:K256" si="76">E260</f>
        <v>1.1439153663900923</v>
      </c>
      <c r="U247" s="1">
        <f t="shared" si="72"/>
        <v>1.2016576818125633</v>
      </c>
    </row>
    <row r="248" spans="1:25" x14ac:dyDescent="0.25">
      <c r="A248" t="s">
        <v>3</v>
      </c>
      <c r="B248">
        <v>9.2625499999999992</v>
      </c>
      <c r="C248">
        <v>4.2070800000000004</v>
      </c>
      <c r="D248">
        <f t="shared" si="73"/>
        <v>5.0554699999999988</v>
      </c>
      <c r="E248" s="1">
        <f t="shared" si="74"/>
        <v>1.2016576818125633</v>
      </c>
      <c r="I248" t="s">
        <v>3</v>
      </c>
      <c r="J248" s="1">
        <f t="shared" si="75"/>
        <v>1.2016576818125633</v>
      </c>
      <c r="K248" s="1">
        <f t="shared" si="76"/>
        <v>1.144285347556975</v>
      </c>
      <c r="U248" s="1">
        <f t="shared" si="72"/>
        <v>1.3122784060046417</v>
      </c>
    </row>
    <row r="249" spans="1:25" x14ac:dyDescent="0.25">
      <c r="A249" t="s">
        <v>4</v>
      </c>
      <c r="B249">
        <v>9.3651900000000001</v>
      </c>
      <c r="C249">
        <v>4.0502000000000002</v>
      </c>
      <c r="D249">
        <f t="shared" si="73"/>
        <v>5.3149899999999999</v>
      </c>
      <c r="E249" s="1">
        <f t="shared" si="74"/>
        <v>1.3122784060046417</v>
      </c>
      <c r="I249" t="s">
        <v>4</v>
      </c>
      <c r="J249" s="1">
        <f t="shared" si="75"/>
        <v>1.3122784060046417</v>
      </c>
      <c r="K249" s="1">
        <f t="shared" si="76"/>
        <v>1.2628833144042266</v>
      </c>
      <c r="U249" s="1">
        <f t="shared" si="72"/>
        <v>1.1895264497386084</v>
      </c>
    </row>
    <row r="250" spans="1:25" x14ac:dyDescent="0.25">
      <c r="A250" t="s">
        <v>5</v>
      </c>
      <c r="B250">
        <v>9.0591000000000008</v>
      </c>
      <c r="C250">
        <v>4.1374700000000004</v>
      </c>
      <c r="D250">
        <f t="shared" si="73"/>
        <v>4.9216300000000004</v>
      </c>
      <c r="E250" s="1">
        <f t="shared" si="74"/>
        <v>1.1895264497386084</v>
      </c>
      <c r="I250" t="s">
        <v>5</v>
      </c>
      <c r="J250" s="1">
        <f t="shared" si="75"/>
        <v>1.1895264497386084</v>
      </c>
      <c r="K250" s="1">
        <f t="shared" si="76"/>
        <v>1.1545002138988316</v>
      </c>
      <c r="U250" s="1">
        <f t="shared" si="72"/>
        <v>1.2732486634684705</v>
      </c>
    </row>
    <row r="251" spans="1:25" x14ac:dyDescent="0.25">
      <c r="A251" t="s">
        <v>6</v>
      </c>
      <c r="B251">
        <v>9.1123399999999997</v>
      </c>
      <c r="C251">
        <v>4.0085100000000002</v>
      </c>
      <c r="D251">
        <f t="shared" si="73"/>
        <v>5.1038299999999994</v>
      </c>
      <c r="E251" s="1">
        <f t="shared" si="74"/>
        <v>1.2732486634684705</v>
      </c>
      <c r="I251" t="s">
        <v>6</v>
      </c>
      <c r="J251" s="1">
        <f t="shared" si="75"/>
        <v>1.2732486634684705</v>
      </c>
      <c r="K251" s="1">
        <f t="shared" si="76"/>
        <v>1.1447021461839937</v>
      </c>
      <c r="U251" s="1">
        <f t="shared" si="72"/>
        <v>1.1532687466988965</v>
      </c>
    </row>
    <row r="252" spans="1:25" x14ac:dyDescent="0.25">
      <c r="A252" t="s">
        <v>7</v>
      </c>
      <c r="B252">
        <v>9.0504899999999999</v>
      </c>
      <c r="C252">
        <v>4.2031400000000003</v>
      </c>
      <c r="D252">
        <f t="shared" si="73"/>
        <v>4.8473499999999996</v>
      </c>
      <c r="E252" s="1">
        <f t="shared" si="74"/>
        <v>1.1532687466988965</v>
      </c>
      <c r="I252" t="s">
        <v>7</v>
      </c>
      <c r="J252" s="1">
        <f t="shared" si="75"/>
        <v>1.1532687466988965</v>
      </c>
      <c r="K252" s="1">
        <f t="shared" si="76"/>
        <v>1.1590763096161438</v>
      </c>
      <c r="U252" s="1">
        <f t="shared" si="72"/>
        <v>1.1338225697223423</v>
      </c>
    </row>
    <row r="253" spans="1:25" x14ac:dyDescent="0.25">
      <c r="A253" t="s">
        <v>8</v>
      </c>
      <c r="B253">
        <v>8.6649200000000004</v>
      </c>
      <c r="C253">
        <v>4.0607499999999996</v>
      </c>
      <c r="D253">
        <f t="shared" si="73"/>
        <v>4.6041700000000008</v>
      </c>
      <c r="E253" s="1">
        <f t="shared" si="74"/>
        <v>1.1338225697223423</v>
      </c>
      <c r="I253" t="s">
        <v>8</v>
      </c>
      <c r="J253" s="1">
        <f t="shared" si="75"/>
        <v>1.1338225697223423</v>
      </c>
      <c r="K253" s="1">
        <f t="shared" si="76"/>
        <v>1.227972665148064</v>
      </c>
      <c r="U253" s="1">
        <f t="shared" si="72"/>
        <v>1.1000711185719994</v>
      </c>
    </row>
    <row r="254" spans="1:25" x14ac:dyDescent="0.25">
      <c r="A254" t="s">
        <v>9</v>
      </c>
      <c r="B254">
        <v>8.3567499999999999</v>
      </c>
      <c r="C254">
        <v>3.9792700000000001</v>
      </c>
      <c r="D254">
        <f t="shared" si="73"/>
        <v>4.3774800000000003</v>
      </c>
      <c r="E254" s="1">
        <f t="shared" si="74"/>
        <v>1.1000711185719994</v>
      </c>
      <c r="I254" t="s">
        <v>9</v>
      </c>
      <c r="J254" s="1">
        <f t="shared" si="75"/>
        <v>1.1000711185719994</v>
      </c>
      <c r="K254" s="1">
        <f t="shared" si="76"/>
        <v>1.0970806203147812</v>
      </c>
      <c r="U254" s="1">
        <f t="shared" si="72"/>
        <v>0.94593500050622659</v>
      </c>
    </row>
    <row r="255" spans="1:25" x14ac:dyDescent="0.25">
      <c r="A255" t="s">
        <v>10</v>
      </c>
      <c r="B255">
        <v>7.8802000000000003</v>
      </c>
      <c r="C255">
        <v>4.0495700000000001</v>
      </c>
      <c r="D255">
        <f t="shared" si="73"/>
        <v>3.8306300000000002</v>
      </c>
      <c r="E255" s="1">
        <f t="shared" si="74"/>
        <v>0.94593500050622659</v>
      </c>
      <c r="I255" t="s">
        <v>10</v>
      </c>
      <c r="J255" s="1">
        <f t="shared" si="75"/>
        <v>0.94593500050622659</v>
      </c>
      <c r="K255" s="1">
        <f t="shared" si="76"/>
        <v>0.97949658852668287</v>
      </c>
      <c r="U255" s="1">
        <f t="shared" si="72"/>
        <v>0.8316880140135936</v>
      </c>
    </row>
    <row r="256" spans="1:25" x14ac:dyDescent="0.25">
      <c r="A256" t="s">
        <v>11</v>
      </c>
      <c r="B256">
        <v>17.964500000000001</v>
      </c>
      <c r="C256">
        <v>9.80762</v>
      </c>
      <c r="D256">
        <f t="shared" si="73"/>
        <v>8.156880000000001</v>
      </c>
      <c r="E256" s="1">
        <f t="shared" si="74"/>
        <v>0.8316880140135936</v>
      </c>
      <c r="I256" t="s">
        <v>11</v>
      </c>
      <c r="J256" s="1">
        <f t="shared" si="75"/>
        <v>0.8316880140135936</v>
      </c>
      <c r="K256" s="1">
        <f t="shared" si="76"/>
        <v>0.87543970912412994</v>
      </c>
      <c r="U256" s="1">
        <f t="shared" ref="U256:U265" si="77">K247</f>
        <v>1.1439153663900923</v>
      </c>
    </row>
    <row r="257" spans="1:21" x14ac:dyDescent="0.25">
      <c r="U257" s="1">
        <f t="shared" si="77"/>
        <v>1.144285347556975</v>
      </c>
    </row>
    <row r="258" spans="1:21" x14ac:dyDescent="0.25">
      <c r="U258" s="1">
        <f t="shared" si="77"/>
        <v>1.2628833144042266</v>
      </c>
    </row>
    <row r="259" spans="1:21" x14ac:dyDescent="0.25">
      <c r="A259" t="s">
        <v>1</v>
      </c>
      <c r="B259" t="s">
        <v>14</v>
      </c>
      <c r="C259" t="s">
        <v>13</v>
      </c>
      <c r="I259" t="s">
        <v>19</v>
      </c>
      <c r="J259" s="2">
        <f>AVERAGE(J247:J256)</f>
        <v>1.1300423013821874</v>
      </c>
      <c r="K259" s="2">
        <f>AVERAGE(K247:K256)</f>
        <v>1.118935228116392</v>
      </c>
      <c r="U259" s="1">
        <f t="shared" si="77"/>
        <v>1.1545002138988316</v>
      </c>
    </row>
    <row r="260" spans="1:21" x14ac:dyDescent="0.25">
      <c r="A260" t="s">
        <v>2</v>
      </c>
      <c r="B260">
        <v>9.0849700000000002</v>
      </c>
      <c r="C260">
        <v>4.2375600000000002</v>
      </c>
      <c r="D260">
        <f t="shared" ref="D260:D269" si="78">B260-C260</f>
        <v>4.84741</v>
      </c>
      <c r="E260" s="1">
        <f t="shared" ref="E260:E269" si="79">D260/C260</f>
        <v>1.1439153663900923</v>
      </c>
      <c r="N260" t="s">
        <v>20</v>
      </c>
      <c r="O260" s="2">
        <f>MIN(U246:U265)</f>
        <v>0.8316880140135936</v>
      </c>
      <c r="U260" s="1">
        <f t="shared" si="77"/>
        <v>1.1447021461839937</v>
      </c>
    </row>
    <row r="261" spans="1:21" x14ac:dyDescent="0.25">
      <c r="A261" t="s">
        <v>3</v>
      </c>
      <c r="B261">
        <v>9.0211799999999993</v>
      </c>
      <c r="C261">
        <v>4.2070800000000004</v>
      </c>
      <c r="D261">
        <f t="shared" si="78"/>
        <v>4.8140999999999989</v>
      </c>
      <c r="E261" s="1">
        <f t="shared" si="79"/>
        <v>1.144285347556975</v>
      </c>
      <c r="N261" t="s">
        <v>21</v>
      </c>
      <c r="O261" s="2">
        <f>MAX(U246:U265)</f>
        <v>1.3122784060046417</v>
      </c>
      <c r="U261" s="1">
        <f t="shared" si="77"/>
        <v>1.1590763096161438</v>
      </c>
    </row>
    <row r="262" spans="1:21" x14ac:dyDescent="0.25">
      <c r="A262" t="s">
        <v>4</v>
      </c>
      <c r="B262">
        <v>9.1651299999999996</v>
      </c>
      <c r="C262">
        <v>4.0502000000000002</v>
      </c>
      <c r="D262">
        <f t="shared" si="78"/>
        <v>5.1149299999999993</v>
      </c>
      <c r="E262" s="1">
        <f t="shared" si="79"/>
        <v>1.2628833144042266</v>
      </c>
      <c r="N262" t="s">
        <v>22</v>
      </c>
      <c r="O262" s="2">
        <f>AVERAGE(U246:U265)</f>
        <v>1.1244887647492898</v>
      </c>
      <c r="U262" s="1">
        <f t="shared" si="77"/>
        <v>1.227972665148064</v>
      </c>
    </row>
    <row r="263" spans="1:21" x14ac:dyDescent="0.25">
      <c r="A263" t="s">
        <v>5</v>
      </c>
      <c r="B263">
        <v>8.91418</v>
      </c>
      <c r="C263">
        <v>4.1374700000000004</v>
      </c>
      <c r="D263">
        <f t="shared" si="78"/>
        <v>4.7767099999999996</v>
      </c>
      <c r="E263" s="1">
        <f t="shared" si="79"/>
        <v>1.1545002138988316</v>
      </c>
      <c r="U263" s="1">
        <f t="shared" si="77"/>
        <v>1.0970806203147812</v>
      </c>
    </row>
    <row r="264" spans="1:21" x14ac:dyDescent="0.25">
      <c r="A264" t="s">
        <v>6</v>
      </c>
      <c r="B264">
        <v>8.5970600000000008</v>
      </c>
      <c r="C264">
        <v>4.0085100000000002</v>
      </c>
      <c r="D264">
        <f t="shared" si="78"/>
        <v>4.5885500000000006</v>
      </c>
      <c r="E264" s="1">
        <f t="shared" si="79"/>
        <v>1.1447021461839937</v>
      </c>
      <c r="U264" s="1">
        <f t="shared" si="77"/>
        <v>0.97949658852668287</v>
      </c>
    </row>
    <row r="265" spans="1:21" x14ac:dyDescent="0.25">
      <c r="A265" t="s">
        <v>7</v>
      </c>
      <c r="B265">
        <v>9.0748999999999995</v>
      </c>
      <c r="C265">
        <v>4.2031400000000003</v>
      </c>
      <c r="D265">
        <f t="shared" si="78"/>
        <v>4.8717599999999992</v>
      </c>
      <c r="E265" s="1">
        <f t="shared" si="79"/>
        <v>1.1590763096161438</v>
      </c>
      <c r="U265" s="1">
        <f t="shared" si="77"/>
        <v>0.87543970912412994</v>
      </c>
    </row>
    <row r="266" spans="1:21" x14ac:dyDescent="0.25">
      <c r="A266" t="s">
        <v>8</v>
      </c>
      <c r="B266">
        <v>9.0472400000000004</v>
      </c>
      <c r="C266">
        <v>4.0607499999999996</v>
      </c>
      <c r="D266">
        <f t="shared" si="78"/>
        <v>4.9864900000000008</v>
      </c>
      <c r="E266" s="1">
        <f t="shared" si="79"/>
        <v>1.227972665148064</v>
      </c>
    </row>
    <row r="267" spans="1:21" x14ac:dyDescent="0.25">
      <c r="A267" t="s">
        <v>9</v>
      </c>
      <c r="B267">
        <v>8.3448499999999992</v>
      </c>
      <c r="C267">
        <v>3.9792700000000001</v>
      </c>
      <c r="D267">
        <f t="shared" si="78"/>
        <v>4.3655799999999996</v>
      </c>
      <c r="E267" s="1">
        <f t="shared" si="79"/>
        <v>1.0970806203147812</v>
      </c>
    </row>
    <row r="268" spans="1:21" x14ac:dyDescent="0.25">
      <c r="A268" t="s">
        <v>10</v>
      </c>
      <c r="B268">
        <v>8.0161099999999994</v>
      </c>
      <c r="C268">
        <v>4.0495700000000001</v>
      </c>
      <c r="D268">
        <f t="shared" si="78"/>
        <v>3.9665399999999993</v>
      </c>
      <c r="E268" s="1">
        <f t="shared" si="79"/>
        <v>0.97949658852668287</v>
      </c>
    </row>
    <row r="269" spans="1:21" x14ac:dyDescent="0.25">
      <c r="A269" t="s">
        <v>11</v>
      </c>
      <c r="B269">
        <v>18.393599999999999</v>
      </c>
      <c r="C269">
        <v>9.80762</v>
      </c>
      <c r="D269">
        <f t="shared" si="78"/>
        <v>8.5859799999999993</v>
      </c>
      <c r="E269" s="1">
        <f t="shared" si="79"/>
        <v>0.87543970912412994</v>
      </c>
    </row>
    <row r="271" spans="1:21" x14ac:dyDescent="0.25">
      <c r="A271" s="6" t="s">
        <v>35</v>
      </c>
      <c r="B271" s="6"/>
    </row>
    <row r="273" spans="1:25" x14ac:dyDescent="0.25">
      <c r="A273" t="s">
        <v>1</v>
      </c>
      <c r="B273" t="s">
        <v>12</v>
      </c>
      <c r="C273" t="s">
        <v>13</v>
      </c>
      <c r="E273" t="s">
        <v>15</v>
      </c>
      <c r="I273" t="s">
        <v>16</v>
      </c>
      <c r="J273" t="s">
        <v>17</v>
      </c>
      <c r="K273" t="s">
        <v>18</v>
      </c>
      <c r="U273" s="1">
        <f t="shared" ref="U273:U282" si="80">J274</f>
        <v>0.7381823308506501</v>
      </c>
      <c r="W273" s="2">
        <f>O287</f>
        <v>0.47202559074488459</v>
      </c>
      <c r="X273" s="2">
        <f>O288</f>
        <v>0.7381823308506501</v>
      </c>
      <c r="Y273" s="2">
        <f>O289</f>
        <v>0.626139012068052</v>
      </c>
    </row>
    <row r="274" spans="1:25" x14ac:dyDescent="0.25">
      <c r="A274" t="s">
        <v>2</v>
      </c>
      <c r="B274">
        <v>2.5656476761858</v>
      </c>
      <c r="C274">
        <v>1.47605209801563</v>
      </c>
      <c r="D274">
        <f t="shared" ref="D274:D283" si="81">B274-C274</f>
        <v>1.0895955781701701</v>
      </c>
      <c r="E274" s="1">
        <f t="shared" ref="E274:E283" si="82">D274/C274</f>
        <v>0.7381823308506501</v>
      </c>
      <c r="I274" t="s">
        <v>2</v>
      </c>
      <c r="J274" s="1">
        <f t="shared" ref="J274:J283" si="83">E274</f>
        <v>0.7381823308506501</v>
      </c>
      <c r="K274" s="1">
        <f t="shared" ref="K274:K283" si="84">E287</f>
        <v>0.65222308568375198</v>
      </c>
      <c r="U274" s="1">
        <f t="shared" si="80"/>
        <v>0.70099998591104362</v>
      </c>
    </row>
    <row r="275" spans="1:25" x14ac:dyDescent="0.25">
      <c r="A275" t="s">
        <v>3</v>
      </c>
      <c r="B275">
        <v>2.5693581517342698</v>
      </c>
      <c r="C275">
        <v>1.5104986319903699</v>
      </c>
      <c r="D275">
        <f t="shared" si="81"/>
        <v>1.0588595197438999</v>
      </c>
      <c r="E275" s="1">
        <f t="shared" si="82"/>
        <v>0.70099998591104362</v>
      </c>
      <c r="I275" t="s">
        <v>3</v>
      </c>
      <c r="J275" s="1">
        <f t="shared" si="83"/>
        <v>0.70099998591104362</v>
      </c>
      <c r="K275" s="1">
        <f t="shared" si="84"/>
        <v>0.60239378757969064</v>
      </c>
      <c r="U275" s="1">
        <f t="shared" si="80"/>
        <v>0.71981677797211541</v>
      </c>
    </row>
    <row r="276" spans="1:25" x14ac:dyDescent="0.25">
      <c r="A276" t="s">
        <v>4</v>
      </c>
      <c r="B276">
        <v>2.59216433386444</v>
      </c>
      <c r="C276">
        <v>1.5072328442573599</v>
      </c>
      <c r="D276">
        <f t="shared" si="81"/>
        <v>1.0849314896070801</v>
      </c>
      <c r="E276" s="1">
        <f t="shared" si="82"/>
        <v>0.71981677797211541</v>
      </c>
      <c r="I276" t="s">
        <v>4</v>
      </c>
      <c r="J276" s="1">
        <f t="shared" si="83"/>
        <v>0.71981677797211541</v>
      </c>
      <c r="K276" s="1">
        <f t="shared" si="84"/>
        <v>0.64295622703218436</v>
      </c>
      <c r="U276" s="1">
        <f t="shared" si="80"/>
        <v>0.7013465853977302</v>
      </c>
    </row>
    <row r="277" spans="1:25" x14ac:dyDescent="0.25">
      <c r="A277" t="s">
        <v>5</v>
      </c>
      <c r="B277">
        <v>2.5923445851207099</v>
      </c>
      <c r="C277">
        <v>1.5237016416115401</v>
      </c>
      <c r="D277">
        <f t="shared" si="81"/>
        <v>1.0686429435091698</v>
      </c>
      <c r="E277" s="1">
        <f t="shared" si="82"/>
        <v>0.7013465853977302</v>
      </c>
      <c r="I277" t="s">
        <v>5</v>
      </c>
      <c r="J277" s="1">
        <f t="shared" si="83"/>
        <v>0.7013465853977302</v>
      </c>
      <c r="K277" s="1">
        <f t="shared" si="84"/>
        <v>0.57866813609732892</v>
      </c>
      <c r="U277" s="1">
        <f t="shared" si="80"/>
        <v>0.67480737737360819</v>
      </c>
    </row>
    <row r="278" spans="1:25" x14ac:dyDescent="0.25">
      <c r="A278" t="s">
        <v>6</v>
      </c>
      <c r="B278">
        <v>2.5921635433263801</v>
      </c>
      <c r="C278">
        <v>1.54773831208658</v>
      </c>
      <c r="D278">
        <f t="shared" si="81"/>
        <v>1.0444252312398001</v>
      </c>
      <c r="E278" s="1">
        <f t="shared" si="82"/>
        <v>0.67480737737360819</v>
      </c>
      <c r="I278" t="s">
        <v>6</v>
      </c>
      <c r="J278" s="1">
        <f t="shared" si="83"/>
        <v>0.67480737737360819</v>
      </c>
      <c r="K278" s="1">
        <f t="shared" si="84"/>
        <v>0.59281771311807785</v>
      </c>
      <c r="U278" s="1">
        <f t="shared" si="80"/>
        <v>0.70317684114873302</v>
      </c>
    </row>
    <row r="279" spans="1:25" x14ac:dyDescent="0.25">
      <c r="A279" t="s">
        <v>7</v>
      </c>
      <c r="B279">
        <v>2.6203000551538098</v>
      </c>
      <c r="C279">
        <v>1.5384779735417899</v>
      </c>
      <c r="D279">
        <f t="shared" si="81"/>
        <v>1.0818220816120199</v>
      </c>
      <c r="E279" s="1">
        <f t="shared" si="82"/>
        <v>0.70317684114873302</v>
      </c>
      <c r="I279" t="s">
        <v>7</v>
      </c>
      <c r="J279" s="1">
        <f t="shared" si="83"/>
        <v>0.70317684114873302</v>
      </c>
      <c r="K279" s="1">
        <f t="shared" si="84"/>
        <v>0.58323117232294064</v>
      </c>
      <c r="U279" s="1">
        <f t="shared" si="80"/>
        <v>0.63614102751933665</v>
      </c>
    </row>
    <row r="280" spans="1:25" x14ac:dyDescent="0.25">
      <c r="A280" t="s">
        <v>8</v>
      </c>
      <c r="B280">
        <v>2.5382267238632199</v>
      </c>
      <c r="C280">
        <v>1.55134959711364</v>
      </c>
      <c r="D280">
        <f t="shared" si="81"/>
        <v>0.98687712674957995</v>
      </c>
      <c r="E280" s="1">
        <f t="shared" si="82"/>
        <v>0.63614102751933665</v>
      </c>
      <c r="I280" t="s">
        <v>8</v>
      </c>
      <c r="J280" s="1">
        <f t="shared" si="83"/>
        <v>0.63614102751933665</v>
      </c>
      <c r="K280" s="1">
        <f t="shared" si="84"/>
        <v>0.57387140549894067</v>
      </c>
      <c r="U280" s="1">
        <f t="shared" si="80"/>
        <v>0.6124365769245782</v>
      </c>
    </row>
    <row r="281" spans="1:25" x14ac:dyDescent="0.25">
      <c r="A281" t="s">
        <v>9</v>
      </c>
      <c r="B281">
        <v>2.5863370676553399</v>
      </c>
      <c r="C281">
        <v>1.6039930529164099</v>
      </c>
      <c r="D281">
        <f t="shared" si="81"/>
        <v>0.98234401473892996</v>
      </c>
      <c r="E281" s="1">
        <f t="shared" si="82"/>
        <v>0.6124365769245782</v>
      </c>
      <c r="I281" t="s">
        <v>9</v>
      </c>
      <c r="J281" s="1">
        <f t="shared" si="83"/>
        <v>0.6124365769245782</v>
      </c>
      <c r="K281" s="1">
        <f t="shared" si="84"/>
        <v>0.53565254475739021</v>
      </c>
      <c r="U281" s="1">
        <f t="shared" si="80"/>
        <v>0.54829951503461605</v>
      </c>
    </row>
    <row r="282" spans="1:25" x14ac:dyDescent="0.25">
      <c r="A282" t="s">
        <v>10</v>
      </c>
      <c r="B282">
        <v>2.6388045943130201</v>
      </c>
      <c r="C282">
        <v>1.70432436921226</v>
      </c>
      <c r="D282">
        <f t="shared" si="81"/>
        <v>0.93448022510076001</v>
      </c>
      <c r="E282" s="1">
        <f t="shared" si="82"/>
        <v>0.54829951503461605</v>
      </c>
      <c r="I282" t="s">
        <v>10</v>
      </c>
      <c r="J282" s="1">
        <f t="shared" si="83"/>
        <v>0.54829951503461605</v>
      </c>
      <c r="K282" s="1">
        <f t="shared" si="84"/>
        <v>0.47202559074488459</v>
      </c>
      <c r="U282" s="1">
        <f t="shared" si="80"/>
        <v>0.6473919709305469</v>
      </c>
    </row>
    <row r="283" spans="1:25" x14ac:dyDescent="0.25">
      <c r="A283" t="s">
        <v>11</v>
      </c>
      <c r="B283">
        <v>5.7266922018629902</v>
      </c>
      <c r="C283">
        <v>3.4762171377029398</v>
      </c>
      <c r="D283">
        <f t="shared" si="81"/>
        <v>2.2504750641600504</v>
      </c>
      <c r="E283" s="1">
        <f t="shared" si="82"/>
        <v>0.6473919709305469</v>
      </c>
      <c r="I283" t="s">
        <v>11</v>
      </c>
      <c r="J283" s="1">
        <f t="shared" si="83"/>
        <v>0.6473919709305469</v>
      </c>
      <c r="K283" s="1">
        <f t="shared" si="84"/>
        <v>0.60634158946289052</v>
      </c>
      <c r="U283" s="1">
        <f t="shared" ref="U283:U292" si="85">K274</f>
        <v>0.65222308568375198</v>
      </c>
    </row>
    <row r="284" spans="1:25" x14ac:dyDescent="0.25">
      <c r="U284" s="1">
        <f t="shared" si="85"/>
        <v>0.60239378757969064</v>
      </c>
    </row>
    <row r="285" spans="1:25" x14ac:dyDescent="0.25">
      <c r="U285" s="1">
        <f t="shared" si="85"/>
        <v>0.64295622703218436</v>
      </c>
    </row>
    <row r="286" spans="1:25" x14ac:dyDescent="0.25">
      <c r="A286" t="s">
        <v>1</v>
      </c>
      <c r="B286" t="s">
        <v>14</v>
      </c>
      <c r="C286" t="s">
        <v>13</v>
      </c>
      <c r="I286" t="s">
        <v>19</v>
      </c>
      <c r="J286" s="2">
        <f>AVERAGE(J274:J283)</f>
        <v>0.66825989890629578</v>
      </c>
      <c r="K286" s="2">
        <f>AVERAGE(K274:K283)</f>
        <v>0.58401812522980801</v>
      </c>
      <c r="U286" s="1">
        <f t="shared" si="85"/>
        <v>0.57866813609732892</v>
      </c>
    </row>
    <row r="287" spans="1:25" x14ac:dyDescent="0.25">
      <c r="A287" t="s">
        <v>2</v>
      </c>
      <c r="B287">
        <v>2.4387673520133601</v>
      </c>
      <c r="C287">
        <v>1.47605209801563</v>
      </c>
      <c r="D287">
        <f t="shared" ref="D287:D296" si="86">B287-C287</f>
        <v>0.96271525399773017</v>
      </c>
      <c r="E287" s="1">
        <f t="shared" ref="E287:E296" si="87">D287/C287</f>
        <v>0.65222308568375198</v>
      </c>
      <c r="N287" t="s">
        <v>20</v>
      </c>
      <c r="O287" s="2">
        <f>MIN(U273:U292)</f>
        <v>0.47202559074488459</v>
      </c>
      <c r="U287" s="1">
        <f t="shared" si="85"/>
        <v>0.59281771311807785</v>
      </c>
    </row>
    <row r="288" spans="1:25" x14ac:dyDescent="0.25">
      <c r="A288" t="s">
        <v>3</v>
      </c>
      <c r="B288">
        <v>2.4204136240489902</v>
      </c>
      <c r="C288">
        <v>1.5104986319903699</v>
      </c>
      <c r="D288">
        <f t="shared" si="86"/>
        <v>0.90991499205862025</v>
      </c>
      <c r="E288" s="1">
        <f t="shared" si="87"/>
        <v>0.60239378757969064</v>
      </c>
      <c r="N288" t="s">
        <v>21</v>
      </c>
      <c r="O288" s="2">
        <f>MAX(U273:U292)</f>
        <v>0.7381823308506501</v>
      </c>
      <c r="U288" s="1">
        <f t="shared" si="85"/>
        <v>0.58323117232294064</v>
      </c>
    </row>
    <row r="289" spans="1:25" x14ac:dyDescent="0.25">
      <c r="A289" t="s">
        <v>4</v>
      </c>
      <c r="B289">
        <v>2.47631758706006</v>
      </c>
      <c r="C289">
        <v>1.5072328442573599</v>
      </c>
      <c r="D289">
        <f t="shared" si="86"/>
        <v>0.96908474280270007</v>
      </c>
      <c r="E289" s="1">
        <f t="shared" si="87"/>
        <v>0.64295622703218436</v>
      </c>
      <c r="N289" t="s">
        <v>22</v>
      </c>
      <c r="O289" s="2">
        <f>AVERAGE(U273:U292)</f>
        <v>0.626139012068052</v>
      </c>
      <c r="U289" s="1">
        <f t="shared" si="85"/>
        <v>0.57387140549894067</v>
      </c>
    </row>
    <row r="290" spans="1:25" x14ac:dyDescent="0.25">
      <c r="A290" t="s">
        <v>5</v>
      </c>
      <c r="B290">
        <v>2.4054192305313302</v>
      </c>
      <c r="C290">
        <v>1.5237016416115401</v>
      </c>
      <c r="D290">
        <f t="shared" si="86"/>
        <v>0.88171758891979013</v>
      </c>
      <c r="E290" s="1">
        <f t="shared" si="87"/>
        <v>0.57866813609732892</v>
      </c>
      <c r="U290" s="1">
        <f t="shared" si="85"/>
        <v>0.53565254475739021</v>
      </c>
    </row>
    <row r="291" spans="1:25" x14ac:dyDescent="0.25">
      <c r="A291" t="s">
        <v>6</v>
      </c>
      <c r="B291">
        <v>2.4652649987629802</v>
      </c>
      <c r="C291">
        <v>1.54773831208658</v>
      </c>
      <c r="D291">
        <f t="shared" si="86"/>
        <v>0.91752668667640025</v>
      </c>
      <c r="E291" s="1">
        <f t="shared" si="87"/>
        <v>0.59281771311807785</v>
      </c>
      <c r="U291" s="1">
        <f t="shared" si="85"/>
        <v>0.47202559074488459</v>
      </c>
    </row>
    <row r="292" spans="1:25" x14ac:dyDescent="0.25">
      <c r="A292" t="s">
        <v>7</v>
      </c>
      <c r="B292">
        <v>2.4357662856435902</v>
      </c>
      <c r="C292">
        <v>1.5384779735417899</v>
      </c>
      <c r="D292">
        <f t="shared" si="86"/>
        <v>0.89728831210180027</v>
      </c>
      <c r="E292" s="1">
        <f t="shared" si="87"/>
        <v>0.58323117232294064</v>
      </c>
      <c r="U292" s="1">
        <f t="shared" si="85"/>
        <v>0.60634158946289052</v>
      </c>
    </row>
    <row r="293" spans="1:25" x14ac:dyDescent="0.25">
      <c r="A293" t="s">
        <v>8</v>
      </c>
      <c r="B293">
        <v>2.4416247708294598</v>
      </c>
      <c r="C293">
        <v>1.55134959711364</v>
      </c>
      <c r="D293">
        <f t="shared" si="86"/>
        <v>0.89027517371581988</v>
      </c>
      <c r="E293" s="1">
        <f t="shared" si="87"/>
        <v>0.57387140549894067</v>
      </c>
    </row>
    <row r="294" spans="1:25" x14ac:dyDescent="0.25">
      <c r="A294" t="s">
        <v>9</v>
      </c>
      <c r="B294">
        <v>2.4631760134842602</v>
      </c>
      <c r="C294">
        <v>1.6039930529164099</v>
      </c>
      <c r="D294">
        <f t="shared" si="86"/>
        <v>0.85918296056785026</v>
      </c>
      <c r="E294" s="1">
        <f t="shared" si="87"/>
        <v>0.53565254475739021</v>
      </c>
    </row>
    <row r="295" spans="1:25" x14ac:dyDescent="0.25">
      <c r="A295" t="s">
        <v>10</v>
      </c>
      <c r="B295">
        <v>2.5088090864105799</v>
      </c>
      <c r="C295">
        <v>1.70432436921226</v>
      </c>
      <c r="D295">
        <f t="shared" si="86"/>
        <v>0.80448471719831982</v>
      </c>
      <c r="E295" s="1">
        <f t="shared" si="87"/>
        <v>0.47202559074488459</v>
      </c>
    </row>
    <row r="296" spans="1:25" x14ac:dyDescent="0.25">
      <c r="A296" t="s">
        <v>11</v>
      </c>
      <c r="B296">
        <v>5.5839921622958801</v>
      </c>
      <c r="C296">
        <v>3.4762171377029398</v>
      </c>
      <c r="D296">
        <f t="shared" si="86"/>
        <v>2.1077750245929403</v>
      </c>
      <c r="E296" s="1">
        <f t="shared" si="87"/>
        <v>0.60634158946289052</v>
      </c>
    </row>
    <row r="298" spans="1:25" x14ac:dyDescent="0.25">
      <c r="A298" s="6" t="s">
        <v>36</v>
      </c>
      <c r="B298" s="6"/>
    </row>
    <row r="300" spans="1:25" x14ac:dyDescent="0.25">
      <c r="A300" t="s">
        <v>1</v>
      </c>
      <c r="B300" t="s">
        <v>12</v>
      </c>
      <c r="C300" t="s">
        <v>13</v>
      </c>
      <c r="E300" t="s">
        <v>15</v>
      </c>
      <c r="I300" t="s">
        <v>16</v>
      </c>
      <c r="J300" t="s">
        <v>17</v>
      </c>
      <c r="K300" t="s">
        <v>18</v>
      </c>
      <c r="U300" s="1">
        <f t="shared" ref="U300:U309" si="88">J301</f>
        <v>2.4754554786527621</v>
      </c>
      <c r="W300" s="2">
        <f>O314</f>
        <v>1.2969682760113264</v>
      </c>
      <c r="X300" s="2">
        <f>O315</f>
        <v>2.4754554786527621</v>
      </c>
      <c r="Y300" s="2">
        <f>O316</f>
        <v>2.0058219573715124</v>
      </c>
    </row>
    <row r="301" spans="1:25" x14ac:dyDescent="0.25">
      <c r="A301" t="s">
        <v>2</v>
      </c>
      <c r="B301">
        <v>16.826799999999999</v>
      </c>
      <c r="C301">
        <v>4.8416100000000002</v>
      </c>
      <c r="D301">
        <f t="shared" ref="D301:D310" si="89">B301-C301</f>
        <v>11.985189999999999</v>
      </c>
      <c r="E301" s="1">
        <f t="shared" ref="E301:E310" si="90">D301/C301</f>
        <v>2.4754554786527621</v>
      </c>
      <c r="I301" t="s">
        <v>2</v>
      </c>
      <c r="J301" s="1">
        <f t="shared" ref="J301:J310" si="91">E301</f>
        <v>2.4754554786527621</v>
      </c>
      <c r="K301" s="1">
        <f t="shared" ref="K301:K310" si="92">E314</f>
        <v>2.0761255037064119</v>
      </c>
      <c r="U301" s="1">
        <f t="shared" si="88"/>
        <v>2.117459275556175</v>
      </c>
    </row>
    <row r="302" spans="1:25" x14ac:dyDescent="0.25">
      <c r="A302" t="s">
        <v>3</v>
      </c>
      <c r="B302">
        <v>16.337700000000002</v>
      </c>
      <c r="C302">
        <v>5.24071</v>
      </c>
      <c r="D302">
        <f t="shared" si="89"/>
        <v>11.096990000000002</v>
      </c>
      <c r="E302" s="1">
        <f t="shared" si="90"/>
        <v>2.117459275556175</v>
      </c>
      <c r="I302" t="s">
        <v>3</v>
      </c>
      <c r="J302" s="1">
        <f t="shared" si="91"/>
        <v>2.117459275556175</v>
      </c>
      <c r="K302" s="1">
        <f t="shared" si="92"/>
        <v>1.7954800017554873</v>
      </c>
      <c r="U302" s="1">
        <f t="shared" si="88"/>
        <v>2.4501880176838258</v>
      </c>
    </row>
    <row r="303" spans="1:25" x14ac:dyDescent="0.25">
      <c r="A303" t="s">
        <v>4</v>
      </c>
      <c r="B303">
        <v>16.295100000000001</v>
      </c>
      <c r="C303">
        <v>4.7229599999999996</v>
      </c>
      <c r="D303">
        <f t="shared" si="89"/>
        <v>11.572140000000001</v>
      </c>
      <c r="E303" s="1">
        <f t="shared" si="90"/>
        <v>2.4501880176838258</v>
      </c>
      <c r="I303" t="s">
        <v>4</v>
      </c>
      <c r="J303" s="1">
        <f t="shared" si="91"/>
        <v>2.4501880176838258</v>
      </c>
      <c r="K303" s="1">
        <f t="shared" si="92"/>
        <v>2.0314887274082363</v>
      </c>
      <c r="U303" s="1">
        <f t="shared" si="88"/>
        <v>2.3187459878049528</v>
      </c>
    </row>
    <row r="304" spans="1:25" x14ac:dyDescent="0.25">
      <c r="A304" t="s">
        <v>5</v>
      </c>
      <c r="B304">
        <v>16.388200000000001</v>
      </c>
      <c r="C304">
        <v>4.9380699999999997</v>
      </c>
      <c r="D304">
        <f t="shared" si="89"/>
        <v>11.450130000000001</v>
      </c>
      <c r="E304" s="1">
        <f t="shared" si="90"/>
        <v>2.3187459878049528</v>
      </c>
      <c r="I304" t="s">
        <v>5</v>
      </c>
      <c r="J304" s="1">
        <f t="shared" si="91"/>
        <v>2.3187459878049528</v>
      </c>
      <c r="K304" s="1">
        <f t="shared" si="92"/>
        <v>1.7807827754568082</v>
      </c>
      <c r="U304" s="1">
        <f t="shared" si="88"/>
        <v>2.3025590058030412</v>
      </c>
    </row>
    <row r="305" spans="1:21" x14ac:dyDescent="0.25">
      <c r="A305" t="s">
        <v>6</v>
      </c>
      <c r="B305">
        <v>16.082999999999998</v>
      </c>
      <c r="C305">
        <v>4.8698600000000001</v>
      </c>
      <c r="D305">
        <f t="shared" si="89"/>
        <v>11.213139999999999</v>
      </c>
      <c r="E305" s="1">
        <f t="shared" si="90"/>
        <v>2.3025590058030412</v>
      </c>
      <c r="I305" t="s">
        <v>6</v>
      </c>
      <c r="J305" s="1">
        <f t="shared" si="91"/>
        <v>2.3025590058030412</v>
      </c>
      <c r="K305" s="1">
        <f t="shared" si="92"/>
        <v>1.8788917956573701</v>
      </c>
      <c r="U305" s="1">
        <f t="shared" si="88"/>
        <v>2.3289250495931917</v>
      </c>
    </row>
    <row r="306" spans="1:21" x14ac:dyDescent="0.25">
      <c r="A306" t="s">
        <v>7</v>
      </c>
      <c r="B306">
        <v>16.210599999999999</v>
      </c>
      <c r="C306">
        <v>4.8696200000000003</v>
      </c>
      <c r="D306">
        <f t="shared" si="89"/>
        <v>11.340979999999998</v>
      </c>
      <c r="E306" s="1">
        <f t="shared" si="90"/>
        <v>2.3289250495931917</v>
      </c>
      <c r="I306" t="s">
        <v>7</v>
      </c>
      <c r="J306" s="1">
        <f t="shared" si="91"/>
        <v>2.3289250495931917</v>
      </c>
      <c r="K306" s="1">
        <f t="shared" si="92"/>
        <v>1.7996640394938415</v>
      </c>
      <c r="U306" s="1">
        <f t="shared" si="88"/>
        <v>2.2620042295232343</v>
      </c>
    </row>
    <row r="307" spans="1:21" x14ac:dyDescent="0.25">
      <c r="A307" t="s">
        <v>8</v>
      </c>
      <c r="B307">
        <v>15.718</v>
      </c>
      <c r="C307">
        <v>4.8185099999999998</v>
      </c>
      <c r="D307">
        <f t="shared" si="89"/>
        <v>10.89949</v>
      </c>
      <c r="E307" s="1">
        <f t="shared" si="90"/>
        <v>2.2620042295232343</v>
      </c>
      <c r="I307" t="s">
        <v>8</v>
      </c>
      <c r="J307" s="1">
        <f t="shared" si="91"/>
        <v>2.2620042295232343</v>
      </c>
      <c r="K307" s="1">
        <f t="shared" si="92"/>
        <v>2.0143135533598562</v>
      </c>
      <c r="U307" s="1">
        <f t="shared" si="88"/>
        <v>2.2027339356561075</v>
      </c>
    </row>
    <row r="308" spans="1:21" x14ac:dyDescent="0.25">
      <c r="A308" t="s">
        <v>9</v>
      </c>
      <c r="B308">
        <v>15.547800000000001</v>
      </c>
      <c r="C308">
        <v>4.8545400000000001</v>
      </c>
      <c r="D308">
        <f t="shared" si="89"/>
        <v>10.69326</v>
      </c>
      <c r="E308" s="1">
        <f t="shared" si="90"/>
        <v>2.2027339356561075</v>
      </c>
      <c r="I308" t="s">
        <v>9</v>
      </c>
      <c r="J308" s="1">
        <f t="shared" si="91"/>
        <v>2.2027339356561075</v>
      </c>
      <c r="K308" s="1">
        <f t="shared" si="92"/>
        <v>1.7551941069596706</v>
      </c>
      <c r="U308" s="1">
        <f t="shared" si="88"/>
        <v>2.0425784824307107</v>
      </c>
    </row>
    <row r="309" spans="1:21" x14ac:dyDescent="0.25">
      <c r="A309" t="s">
        <v>10</v>
      </c>
      <c r="B309">
        <v>14.2316</v>
      </c>
      <c r="C309">
        <v>4.6774800000000001</v>
      </c>
      <c r="D309">
        <f t="shared" si="89"/>
        <v>9.5541200000000011</v>
      </c>
      <c r="E309" s="1">
        <f t="shared" si="90"/>
        <v>2.0425784824307107</v>
      </c>
      <c r="I309" t="s">
        <v>10</v>
      </c>
      <c r="J309" s="1">
        <f t="shared" si="91"/>
        <v>2.0425784824307107</v>
      </c>
      <c r="K309" s="1">
        <f t="shared" si="92"/>
        <v>1.7454954377143246</v>
      </c>
      <c r="U309" s="1">
        <f t="shared" si="88"/>
        <v>1.4413854672029145</v>
      </c>
    </row>
    <row r="310" spans="1:21" x14ac:dyDescent="0.25">
      <c r="A310" t="s">
        <v>11</v>
      </c>
      <c r="B310">
        <v>27.073499999999999</v>
      </c>
      <c r="C310">
        <v>11.089399999999999</v>
      </c>
      <c r="D310">
        <f t="shared" si="89"/>
        <v>15.9841</v>
      </c>
      <c r="E310" s="1">
        <f t="shared" si="90"/>
        <v>1.4413854672029145</v>
      </c>
      <c r="I310" t="s">
        <v>11</v>
      </c>
      <c r="J310" s="1">
        <f t="shared" si="91"/>
        <v>1.4413854672029145</v>
      </c>
      <c r="K310" s="1">
        <f t="shared" si="92"/>
        <v>1.2969682760113264</v>
      </c>
      <c r="U310" s="1">
        <f t="shared" ref="U310:U319" si="93">K301</f>
        <v>2.0761255037064119</v>
      </c>
    </row>
    <row r="311" spans="1:21" x14ac:dyDescent="0.25">
      <c r="U311" s="1">
        <f t="shared" si="93"/>
        <v>1.7954800017554873</v>
      </c>
    </row>
    <row r="312" spans="1:21" x14ac:dyDescent="0.25">
      <c r="U312" s="1">
        <f t="shared" si="93"/>
        <v>2.0314887274082363</v>
      </c>
    </row>
    <row r="313" spans="1:21" x14ac:dyDescent="0.25">
      <c r="A313" t="s">
        <v>1</v>
      </c>
      <c r="B313" t="s">
        <v>14</v>
      </c>
      <c r="C313" t="s">
        <v>13</v>
      </c>
      <c r="I313" t="s">
        <v>19</v>
      </c>
      <c r="J313" s="2">
        <f>AVERAGE(J301:J310)</f>
        <v>2.1942034929906913</v>
      </c>
      <c r="K313" s="2">
        <f>AVERAGE(K301:K310)</f>
        <v>1.8174404217523334</v>
      </c>
      <c r="U313" s="1">
        <f t="shared" si="93"/>
        <v>1.7807827754568082</v>
      </c>
    </row>
    <row r="314" spans="1:21" x14ac:dyDescent="0.25">
      <c r="A314" t="s">
        <v>2</v>
      </c>
      <c r="B314">
        <v>14.8934</v>
      </c>
      <c r="C314">
        <v>4.8416100000000002</v>
      </c>
      <c r="D314">
        <f t="shared" ref="D314:D323" si="94">B314-C314</f>
        <v>10.05179</v>
      </c>
      <c r="E314" s="1">
        <f t="shared" ref="E314:E323" si="95">D314/C314</f>
        <v>2.0761255037064119</v>
      </c>
      <c r="N314" t="s">
        <v>20</v>
      </c>
      <c r="O314" s="2">
        <f>MIN(U300:U319)</f>
        <v>1.2969682760113264</v>
      </c>
      <c r="U314" s="1">
        <f t="shared" si="93"/>
        <v>1.8788917956573701</v>
      </c>
    </row>
    <row r="315" spans="1:21" x14ac:dyDescent="0.25">
      <c r="A315" t="s">
        <v>3</v>
      </c>
      <c r="B315">
        <v>14.6503</v>
      </c>
      <c r="C315">
        <v>5.24071</v>
      </c>
      <c r="D315">
        <f t="shared" si="94"/>
        <v>9.4095899999999997</v>
      </c>
      <c r="E315" s="1">
        <f t="shared" si="95"/>
        <v>1.7954800017554873</v>
      </c>
      <c r="N315" t="s">
        <v>21</v>
      </c>
      <c r="O315" s="2">
        <f>MAX(U300:U319)</f>
        <v>2.4754554786527621</v>
      </c>
      <c r="U315" s="1">
        <f t="shared" si="93"/>
        <v>1.7996640394938415</v>
      </c>
    </row>
    <row r="316" spans="1:21" x14ac:dyDescent="0.25">
      <c r="A316" t="s">
        <v>4</v>
      </c>
      <c r="B316">
        <v>14.317600000000001</v>
      </c>
      <c r="C316">
        <v>4.7229599999999996</v>
      </c>
      <c r="D316">
        <f t="shared" si="94"/>
        <v>9.5946400000000018</v>
      </c>
      <c r="E316" s="1">
        <f t="shared" si="95"/>
        <v>2.0314887274082363</v>
      </c>
      <c r="N316" t="s">
        <v>22</v>
      </c>
      <c r="O316" s="2">
        <f>AVERAGE(U300:U319)</f>
        <v>2.0058219573715124</v>
      </c>
      <c r="U316" s="1">
        <f t="shared" si="93"/>
        <v>2.0143135533598562</v>
      </c>
    </row>
    <row r="317" spans="1:21" x14ac:dyDescent="0.25">
      <c r="A317" t="s">
        <v>5</v>
      </c>
      <c r="B317">
        <v>13.7317</v>
      </c>
      <c r="C317">
        <v>4.9380699999999997</v>
      </c>
      <c r="D317">
        <f t="shared" si="94"/>
        <v>8.7936300000000003</v>
      </c>
      <c r="E317" s="1">
        <f t="shared" si="95"/>
        <v>1.7807827754568082</v>
      </c>
      <c r="U317" s="1">
        <f t="shared" si="93"/>
        <v>1.7551941069596706</v>
      </c>
    </row>
    <row r="318" spans="1:21" x14ac:dyDescent="0.25">
      <c r="A318" t="s">
        <v>6</v>
      </c>
      <c r="B318">
        <v>14.0198</v>
      </c>
      <c r="C318">
        <v>4.8698600000000001</v>
      </c>
      <c r="D318">
        <f t="shared" si="94"/>
        <v>9.1499400000000009</v>
      </c>
      <c r="E318" s="1">
        <f t="shared" si="95"/>
        <v>1.8788917956573701</v>
      </c>
      <c r="U318" s="1">
        <f t="shared" si="93"/>
        <v>1.7454954377143246</v>
      </c>
    </row>
    <row r="319" spans="1:21" x14ac:dyDescent="0.25">
      <c r="A319" t="s">
        <v>7</v>
      </c>
      <c r="B319">
        <v>13.6333</v>
      </c>
      <c r="C319">
        <v>4.8696200000000003</v>
      </c>
      <c r="D319">
        <f t="shared" si="94"/>
        <v>8.7636800000000008</v>
      </c>
      <c r="E319" s="1">
        <f t="shared" si="95"/>
        <v>1.7996640394938415</v>
      </c>
      <c r="U319" s="1">
        <f t="shared" si="93"/>
        <v>1.2969682760113264</v>
      </c>
    </row>
    <row r="320" spans="1:21" x14ac:dyDescent="0.25">
      <c r="A320" t="s">
        <v>8</v>
      </c>
      <c r="B320">
        <v>14.5245</v>
      </c>
      <c r="C320">
        <v>4.8185099999999998</v>
      </c>
      <c r="D320">
        <f t="shared" si="94"/>
        <v>9.7059899999999999</v>
      </c>
      <c r="E320" s="1">
        <f t="shared" si="95"/>
        <v>2.0143135533598562</v>
      </c>
    </row>
    <row r="321" spans="1:25" x14ac:dyDescent="0.25">
      <c r="A321" t="s">
        <v>9</v>
      </c>
      <c r="B321">
        <v>13.3752</v>
      </c>
      <c r="C321">
        <v>4.8545400000000001</v>
      </c>
      <c r="D321">
        <f t="shared" si="94"/>
        <v>8.5206599999999995</v>
      </c>
      <c r="E321" s="1">
        <f t="shared" si="95"/>
        <v>1.7551941069596706</v>
      </c>
    </row>
    <row r="322" spans="1:25" x14ac:dyDescent="0.25">
      <c r="A322" t="s">
        <v>10</v>
      </c>
      <c r="B322">
        <v>12.842000000000001</v>
      </c>
      <c r="C322">
        <v>4.6774800000000001</v>
      </c>
      <c r="D322">
        <f t="shared" si="94"/>
        <v>8.1645199999999996</v>
      </c>
      <c r="E322" s="1">
        <f t="shared" si="95"/>
        <v>1.7454954377143246</v>
      </c>
    </row>
    <row r="323" spans="1:25" x14ac:dyDescent="0.25">
      <c r="A323" t="s">
        <v>11</v>
      </c>
      <c r="B323">
        <v>25.472000000000001</v>
      </c>
      <c r="C323">
        <v>11.089399999999999</v>
      </c>
      <c r="D323">
        <f t="shared" si="94"/>
        <v>14.382600000000002</v>
      </c>
      <c r="E323" s="1">
        <f t="shared" si="95"/>
        <v>1.2969682760113264</v>
      </c>
    </row>
    <row r="325" spans="1:25" x14ac:dyDescent="0.25">
      <c r="A325" s="6" t="s">
        <v>37</v>
      </c>
      <c r="B325" s="6"/>
    </row>
    <row r="327" spans="1:25" x14ac:dyDescent="0.25">
      <c r="A327" t="s">
        <v>1</v>
      </c>
      <c r="B327" t="s">
        <v>12</v>
      </c>
      <c r="C327" t="s">
        <v>13</v>
      </c>
      <c r="E327" t="s">
        <v>15</v>
      </c>
      <c r="I327" t="s">
        <v>16</v>
      </c>
      <c r="J327" t="s">
        <v>17</v>
      </c>
      <c r="K327" t="s">
        <v>18</v>
      </c>
      <c r="U327" s="1">
        <f t="shared" ref="U327:U336" si="96">J328</f>
        <v>1.625574686065731</v>
      </c>
      <c r="W327" s="2">
        <f>O341</f>
        <v>1.0260925018729083</v>
      </c>
      <c r="X327" s="2">
        <f>O342</f>
        <v>1.625574686065731</v>
      </c>
      <c r="Y327" s="2">
        <f>O343</f>
        <v>1.4050833238060829</v>
      </c>
    </row>
    <row r="328" spans="1:25" x14ac:dyDescent="0.25">
      <c r="A328" t="s">
        <v>2</v>
      </c>
      <c r="B328">
        <v>4.6124891336064104</v>
      </c>
      <c r="C328">
        <v>1.7567541148554999</v>
      </c>
      <c r="D328">
        <f t="shared" ref="D328:D337" si="97">B328-C328</f>
        <v>2.8557350187509103</v>
      </c>
      <c r="E328" s="1">
        <f t="shared" ref="E328:E337" si="98">D328/C328</f>
        <v>1.625574686065731</v>
      </c>
      <c r="I328" t="s">
        <v>2</v>
      </c>
      <c r="J328" s="1">
        <f t="shared" ref="J328:J337" si="99">E328</f>
        <v>1.625574686065731</v>
      </c>
      <c r="K328" s="1">
        <f t="shared" ref="K328:K337" si="100">E341</f>
        <v>1.564536348655085</v>
      </c>
      <c r="U328" s="1">
        <f t="shared" si="96"/>
        <v>1.5934623591327872</v>
      </c>
    </row>
    <row r="329" spans="1:25" x14ac:dyDescent="0.25">
      <c r="A329" t="s">
        <v>3</v>
      </c>
      <c r="B329">
        <v>4.5991531002749504</v>
      </c>
      <c r="C329">
        <v>1.7733641223205701</v>
      </c>
      <c r="D329">
        <f t="shared" si="97"/>
        <v>2.8257889779543803</v>
      </c>
      <c r="E329" s="1">
        <f t="shared" si="98"/>
        <v>1.5934623591327872</v>
      </c>
      <c r="I329" t="s">
        <v>3</v>
      </c>
      <c r="J329" s="1">
        <f t="shared" si="99"/>
        <v>1.5934623591327872</v>
      </c>
      <c r="K329" s="1">
        <f t="shared" si="100"/>
        <v>1.496544996090015</v>
      </c>
      <c r="U329" s="1">
        <f t="shared" si="96"/>
        <v>1.5061133560900155</v>
      </c>
    </row>
    <row r="330" spans="1:25" x14ac:dyDescent="0.25">
      <c r="A330" t="s">
        <v>4</v>
      </c>
      <c r="B330">
        <v>4.5058638987711301</v>
      </c>
      <c r="C330">
        <v>1.79794895862216</v>
      </c>
      <c r="D330">
        <f t="shared" si="97"/>
        <v>2.7079149401489699</v>
      </c>
      <c r="E330" s="1">
        <f t="shared" si="98"/>
        <v>1.5061133560900155</v>
      </c>
      <c r="I330" t="s">
        <v>4</v>
      </c>
      <c r="J330" s="1">
        <f t="shared" si="99"/>
        <v>1.5061133560900155</v>
      </c>
      <c r="K330" s="1">
        <f t="shared" si="100"/>
        <v>1.4770999990345206</v>
      </c>
      <c r="U330" s="1">
        <f t="shared" si="96"/>
        <v>1.5228954425277299</v>
      </c>
    </row>
    <row r="331" spans="1:25" x14ac:dyDescent="0.25">
      <c r="A331" t="s">
        <v>5</v>
      </c>
      <c r="B331">
        <v>4.5249020268222697</v>
      </c>
      <c r="C331">
        <v>1.79353529700331</v>
      </c>
      <c r="D331">
        <f t="shared" si="97"/>
        <v>2.7313667298189594</v>
      </c>
      <c r="E331" s="1">
        <f t="shared" si="98"/>
        <v>1.5228954425277299</v>
      </c>
      <c r="I331" t="s">
        <v>5</v>
      </c>
      <c r="J331" s="1">
        <f t="shared" si="99"/>
        <v>1.5228954425277299</v>
      </c>
      <c r="K331" s="1">
        <f t="shared" si="100"/>
        <v>1.5122753862510485</v>
      </c>
      <c r="U331" s="1">
        <f t="shared" si="96"/>
        <v>1.4527454862492386</v>
      </c>
    </row>
    <row r="332" spans="1:25" x14ac:dyDescent="0.25">
      <c r="A332" t="s">
        <v>6</v>
      </c>
      <c r="B332">
        <v>4.4590087515430197</v>
      </c>
      <c r="C332">
        <v>1.8179663469126499</v>
      </c>
      <c r="D332">
        <f t="shared" si="97"/>
        <v>2.6410424046303698</v>
      </c>
      <c r="E332" s="1">
        <f t="shared" si="98"/>
        <v>1.4527454862492386</v>
      </c>
      <c r="I332" t="s">
        <v>6</v>
      </c>
      <c r="J332" s="1">
        <f t="shared" si="99"/>
        <v>1.4527454862492386</v>
      </c>
      <c r="K332" s="1">
        <f t="shared" si="100"/>
        <v>1.4759958964150774</v>
      </c>
      <c r="U332" s="1">
        <f t="shared" si="96"/>
        <v>1.4552173783632167</v>
      </c>
    </row>
    <row r="333" spans="1:25" x14ac:dyDescent="0.25">
      <c r="A333" t="s">
        <v>7</v>
      </c>
      <c r="B333">
        <v>4.4593299214409798</v>
      </c>
      <c r="C333">
        <v>1.8162668449397401</v>
      </c>
      <c r="D333">
        <f t="shared" si="97"/>
        <v>2.6430630765012397</v>
      </c>
      <c r="E333" s="1">
        <f t="shared" si="98"/>
        <v>1.4552173783632167</v>
      </c>
      <c r="I333" t="s">
        <v>7</v>
      </c>
      <c r="J333" s="1">
        <f t="shared" si="99"/>
        <v>1.4552173783632167</v>
      </c>
      <c r="K333" s="1">
        <f t="shared" si="100"/>
        <v>1.4597198102925633</v>
      </c>
      <c r="U333" s="1">
        <f t="shared" si="96"/>
        <v>1.4083005771080273</v>
      </c>
    </row>
    <row r="334" spans="1:25" x14ac:dyDescent="0.25">
      <c r="A334" t="s">
        <v>8</v>
      </c>
      <c r="B334">
        <v>4.41001294035126</v>
      </c>
      <c r="C334">
        <v>1.8311721478084599</v>
      </c>
      <c r="D334">
        <f t="shared" si="97"/>
        <v>2.5788407925427999</v>
      </c>
      <c r="E334" s="1">
        <f t="shared" si="98"/>
        <v>1.4083005771080273</v>
      </c>
      <c r="I334" t="s">
        <v>8</v>
      </c>
      <c r="J334" s="1">
        <f t="shared" si="99"/>
        <v>1.4083005771080273</v>
      </c>
      <c r="K334" s="1">
        <f t="shared" si="100"/>
        <v>1.4381503678520415</v>
      </c>
      <c r="U334" s="1">
        <f t="shared" si="96"/>
        <v>1.3371933512164547</v>
      </c>
    </row>
    <row r="335" spans="1:25" x14ac:dyDescent="0.25">
      <c r="A335" t="s">
        <v>9</v>
      </c>
      <c r="B335">
        <v>4.4249396823971701</v>
      </c>
      <c r="C335">
        <v>1.89327069585154</v>
      </c>
      <c r="D335">
        <f t="shared" si="97"/>
        <v>2.5316689865456299</v>
      </c>
      <c r="E335" s="1">
        <f t="shared" si="98"/>
        <v>1.3371933512164547</v>
      </c>
      <c r="I335" t="s">
        <v>9</v>
      </c>
      <c r="J335" s="1">
        <f t="shared" si="99"/>
        <v>1.3371933512164547</v>
      </c>
      <c r="K335" s="1">
        <f t="shared" si="100"/>
        <v>1.3129255441962309</v>
      </c>
      <c r="U335" s="1">
        <f t="shared" si="96"/>
        <v>1.1974982979261937</v>
      </c>
    </row>
    <row r="336" spans="1:25" x14ac:dyDescent="0.25">
      <c r="A336" t="s">
        <v>10</v>
      </c>
      <c r="B336">
        <v>4.3893327613489399</v>
      </c>
      <c r="C336">
        <v>1.9974225989122301</v>
      </c>
      <c r="D336">
        <f t="shared" si="97"/>
        <v>2.3919101624367096</v>
      </c>
      <c r="E336" s="1">
        <f t="shared" si="98"/>
        <v>1.1974982979261937</v>
      </c>
      <c r="I336" t="s">
        <v>10</v>
      </c>
      <c r="J336" s="1">
        <f t="shared" si="99"/>
        <v>1.1974982979261937</v>
      </c>
      <c r="K336" s="1">
        <f t="shared" si="100"/>
        <v>1.1658363413983155</v>
      </c>
      <c r="U336" s="1">
        <f t="shared" si="96"/>
        <v>1.0260925018729083</v>
      </c>
    </row>
    <row r="337" spans="1:21" x14ac:dyDescent="0.25">
      <c r="A337" t="s">
        <v>11</v>
      </c>
      <c r="B337">
        <v>8.7699482207383905</v>
      </c>
      <c r="C337">
        <v>4.3285033692348698</v>
      </c>
      <c r="D337">
        <f t="shared" si="97"/>
        <v>4.4414448515035208</v>
      </c>
      <c r="E337" s="1">
        <f t="shared" si="98"/>
        <v>1.0260925018729083</v>
      </c>
      <c r="I337" t="s">
        <v>11</v>
      </c>
      <c r="J337" s="1">
        <f t="shared" si="99"/>
        <v>1.0260925018729083</v>
      </c>
      <c r="K337" s="1">
        <f t="shared" si="100"/>
        <v>1.0734883493844567</v>
      </c>
      <c r="U337" s="1">
        <f t="shared" ref="U337:U346" si="101">K328</f>
        <v>1.564536348655085</v>
      </c>
    </row>
    <row r="338" spans="1:21" x14ac:dyDescent="0.25">
      <c r="U338" s="1">
        <f t="shared" si="101"/>
        <v>1.496544996090015</v>
      </c>
    </row>
    <row r="339" spans="1:21" x14ac:dyDescent="0.25">
      <c r="U339" s="1">
        <f t="shared" si="101"/>
        <v>1.4770999990345206</v>
      </c>
    </row>
    <row r="340" spans="1:21" x14ac:dyDescent="0.25">
      <c r="A340" t="s">
        <v>1</v>
      </c>
      <c r="B340" t="s">
        <v>14</v>
      </c>
      <c r="C340" t="s">
        <v>13</v>
      </c>
      <c r="I340" t="s">
        <v>19</v>
      </c>
      <c r="J340" s="2">
        <f>AVERAGE(J328:J337)</f>
        <v>1.4125093436552301</v>
      </c>
      <c r="K340" s="2">
        <f>AVERAGE(K328:K337)</f>
        <v>1.3976573039569353</v>
      </c>
      <c r="U340" s="1">
        <f t="shared" si="101"/>
        <v>1.5122753862510485</v>
      </c>
    </row>
    <row r="341" spans="1:21" x14ac:dyDescent="0.25">
      <c r="A341" t="s">
        <v>2</v>
      </c>
      <c r="B341">
        <v>4.5052597831963199</v>
      </c>
      <c r="C341">
        <v>1.7567541148554999</v>
      </c>
      <c r="D341">
        <f t="shared" ref="D341:D350" si="102">B341-C341</f>
        <v>2.7485056683408198</v>
      </c>
      <c r="E341" s="1">
        <f t="shared" ref="E341:E350" si="103">D341/C341</f>
        <v>1.564536348655085</v>
      </c>
      <c r="N341" t="s">
        <v>20</v>
      </c>
      <c r="O341" s="2">
        <f>MIN(U327:U346)</f>
        <v>1.0260925018729083</v>
      </c>
      <c r="U341" s="1">
        <f t="shared" si="101"/>
        <v>1.4759958964150774</v>
      </c>
    </row>
    <row r="342" spans="1:21" x14ac:dyDescent="0.25">
      <c r="A342" t="s">
        <v>3</v>
      </c>
      <c r="B342">
        <v>4.4272833258249804</v>
      </c>
      <c r="C342">
        <v>1.7733641223205701</v>
      </c>
      <c r="D342">
        <f t="shared" si="102"/>
        <v>2.6539192035044104</v>
      </c>
      <c r="E342" s="1">
        <f t="shared" si="103"/>
        <v>1.496544996090015</v>
      </c>
      <c r="N342" t="s">
        <v>21</v>
      </c>
      <c r="O342" s="2">
        <f>MAX(U327:U346)</f>
        <v>1.625574686065731</v>
      </c>
      <c r="U342" s="1">
        <f t="shared" si="101"/>
        <v>1.4597198102925633</v>
      </c>
    </row>
    <row r="343" spans="1:21" x14ac:dyDescent="0.25">
      <c r="A343" t="s">
        <v>4</v>
      </c>
      <c r="B343">
        <v>4.4536993636670701</v>
      </c>
      <c r="C343">
        <v>1.79794895862216</v>
      </c>
      <c r="D343">
        <f t="shared" si="102"/>
        <v>2.6557504050449099</v>
      </c>
      <c r="E343" s="1">
        <f t="shared" si="103"/>
        <v>1.4770999990345206</v>
      </c>
      <c r="N343" t="s">
        <v>22</v>
      </c>
      <c r="O343" s="2">
        <f>AVERAGE(U327:U346)</f>
        <v>1.4050833238060829</v>
      </c>
      <c r="U343" s="1">
        <f t="shared" si="101"/>
        <v>1.4381503678520415</v>
      </c>
    </row>
    <row r="344" spans="1:21" x14ac:dyDescent="0.25">
      <c r="A344" t="s">
        <v>5</v>
      </c>
      <c r="B344">
        <v>4.5058545810338799</v>
      </c>
      <c r="C344">
        <v>1.79353529700331</v>
      </c>
      <c r="D344">
        <f t="shared" si="102"/>
        <v>2.7123192840305697</v>
      </c>
      <c r="E344" s="1">
        <f t="shared" si="103"/>
        <v>1.5122753862510485</v>
      </c>
      <c r="U344" s="1">
        <f t="shared" si="101"/>
        <v>1.3129255441962309</v>
      </c>
    </row>
    <row r="345" spans="1:21" x14ac:dyDescent="0.25">
      <c r="A345" t="s">
        <v>6</v>
      </c>
      <c r="B345">
        <v>4.5012772147764304</v>
      </c>
      <c r="C345">
        <v>1.8179663469126499</v>
      </c>
      <c r="D345">
        <f t="shared" si="102"/>
        <v>2.6833108678637805</v>
      </c>
      <c r="E345" s="1">
        <f t="shared" si="103"/>
        <v>1.4759958964150774</v>
      </c>
      <c r="U345" s="1">
        <f t="shared" si="101"/>
        <v>1.1658363413983155</v>
      </c>
    </row>
    <row r="346" spans="1:21" x14ac:dyDescent="0.25">
      <c r="A346" t="s">
        <v>7</v>
      </c>
      <c r="B346">
        <v>4.4675075392758501</v>
      </c>
      <c r="C346">
        <v>1.8162668449397401</v>
      </c>
      <c r="D346">
        <f t="shared" si="102"/>
        <v>2.65124069433611</v>
      </c>
      <c r="E346" s="1">
        <f t="shared" si="103"/>
        <v>1.4597198102925633</v>
      </c>
      <c r="U346" s="1">
        <f t="shared" si="101"/>
        <v>1.0734883493844567</v>
      </c>
    </row>
    <row r="347" spans="1:21" x14ac:dyDescent="0.25">
      <c r="A347" t="s">
        <v>8</v>
      </c>
      <c r="B347">
        <v>4.4646730457796098</v>
      </c>
      <c r="C347">
        <v>1.8311721478084599</v>
      </c>
      <c r="D347">
        <f t="shared" si="102"/>
        <v>2.6335008979711496</v>
      </c>
      <c r="E347" s="1">
        <f t="shared" si="103"/>
        <v>1.4381503678520415</v>
      </c>
    </row>
    <row r="348" spans="1:21" x14ac:dyDescent="0.25">
      <c r="A348" t="s">
        <v>9</v>
      </c>
      <c r="B348">
        <v>4.3789941545132001</v>
      </c>
      <c r="C348">
        <v>1.89327069585154</v>
      </c>
      <c r="D348">
        <f t="shared" si="102"/>
        <v>2.4857234586616599</v>
      </c>
      <c r="E348" s="1">
        <f t="shared" si="103"/>
        <v>1.3129255441962309</v>
      </c>
    </row>
    <row r="349" spans="1:21" x14ac:dyDescent="0.25">
      <c r="A349" t="s">
        <v>10</v>
      </c>
      <c r="B349">
        <v>4.3260904538543796</v>
      </c>
      <c r="C349">
        <v>1.9974225989122301</v>
      </c>
      <c r="D349">
        <f t="shared" si="102"/>
        <v>2.3286678549421493</v>
      </c>
      <c r="E349" s="1">
        <f t="shared" si="103"/>
        <v>1.1658363413983155</v>
      </c>
    </row>
    <row r="350" spans="1:21" x14ac:dyDescent="0.25">
      <c r="A350" t="s">
        <v>11</v>
      </c>
      <c r="B350">
        <v>8.9751013063798695</v>
      </c>
      <c r="C350">
        <v>4.3285033692348698</v>
      </c>
      <c r="D350">
        <f t="shared" si="102"/>
        <v>4.6465979371449997</v>
      </c>
      <c r="E350" s="1">
        <f t="shared" si="103"/>
        <v>1.0734883493844567</v>
      </c>
    </row>
    <row r="352" spans="1:21" x14ac:dyDescent="0.25">
      <c r="A352" s="6" t="s">
        <v>38</v>
      </c>
      <c r="B352" s="6"/>
    </row>
    <row r="354" spans="1:25" x14ac:dyDescent="0.25">
      <c r="A354" t="s">
        <v>1</v>
      </c>
      <c r="B354" t="s">
        <v>12</v>
      </c>
      <c r="C354" t="s">
        <v>13</v>
      </c>
      <c r="E354" t="s">
        <v>15</v>
      </c>
      <c r="I354" t="s">
        <v>16</v>
      </c>
      <c r="J354" t="s">
        <v>17</v>
      </c>
      <c r="K354" t="s">
        <v>18</v>
      </c>
      <c r="U354" s="1">
        <f t="shared" ref="U354:U363" si="104">J355</f>
        <v>3.6996929431845742</v>
      </c>
      <c r="W354" s="2">
        <f>O368</f>
        <v>2.2313749991417842</v>
      </c>
      <c r="X354" s="2">
        <f>O369</f>
        <v>3.7763498535042705</v>
      </c>
      <c r="Y354" s="2">
        <f>O370</f>
        <v>3.3564319585168931</v>
      </c>
    </row>
    <row r="355" spans="1:25" x14ac:dyDescent="0.25">
      <c r="A355" t="s">
        <v>2</v>
      </c>
      <c r="B355">
        <v>30.810199999999998</v>
      </c>
      <c r="C355">
        <v>6.55579</v>
      </c>
      <c r="D355">
        <f t="shared" ref="D355:D364" si="105">B355-C355</f>
        <v>24.25441</v>
      </c>
      <c r="E355" s="1">
        <f t="shared" ref="E355:E364" si="106">D355/C355</f>
        <v>3.6996929431845742</v>
      </c>
      <c r="I355" t="s">
        <v>2</v>
      </c>
      <c r="J355" s="1">
        <f t="shared" ref="J355:J364" si="107">E355</f>
        <v>3.6996929431845742</v>
      </c>
      <c r="K355" s="1">
        <f t="shared" ref="K355:K364" si="108">E368</f>
        <v>3.4459172731280292</v>
      </c>
      <c r="U355" s="1">
        <f t="shared" si="104"/>
        <v>3.7763498535042705</v>
      </c>
    </row>
    <row r="356" spans="1:25" x14ac:dyDescent="0.25">
      <c r="A356" t="s">
        <v>3</v>
      </c>
      <c r="B356">
        <v>30.8108</v>
      </c>
      <c r="C356">
        <v>6.4507000000000003</v>
      </c>
      <c r="D356">
        <f t="shared" si="105"/>
        <v>24.360099999999999</v>
      </c>
      <c r="E356" s="1">
        <f t="shared" si="106"/>
        <v>3.7763498535042705</v>
      </c>
      <c r="I356" t="s">
        <v>3</v>
      </c>
      <c r="J356" s="1">
        <f t="shared" si="107"/>
        <v>3.7763498535042705</v>
      </c>
      <c r="K356" s="1">
        <f t="shared" si="108"/>
        <v>3.3041220332677073</v>
      </c>
      <c r="U356" s="1">
        <f t="shared" si="104"/>
        <v>3.5978938936980374</v>
      </c>
    </row>
    <row r="357" spans="1:25" x14ac:dyDescent="0.25">
      <c r="A357" t="s">
        <v>4</v>
      </c>
      <c r="B357">
        <v>30.0791</v>
      </c>
      <c r="C357">
        <v>6.5419299999999998</v>
      </c>
      <c r="D357">
        <f t="shared" si="105"/>
        <v>23.53717</v>
      </c>
      <c r="E357" s="1">
        <f t="shared" si="106"/>
        <v>3.5978938936980374</v>
      </c>
      <c r="I357" t="s">
        <v>4</v>
      </c>
      <c r="J357" s="1">
        <f t="shared" si="107"/>
        <v>3.5978938936980374</v>
      </c>
      <c r="K357" s="1">
        <f t="shared" si="108"/>
        <v>3.3531496056974013</v>
      </c>
      <c r="U357" s="1">
        <f t="shared" si="104"/>
        <v>3.7623376089588954</v>
      </c>
    </row>
    <row r="358" spans="1:25" x14ac:dyDescent="0.25">
      <c r="A358" t="s">
        <v>5</v>
      </c>
      <c r="B358">
        <v>30.125499999999999</v>
      </c>
      <c r="C358">
        <v>6.32578</v>
      </c>
      <c r="D358">
        <f t="shared" si="105"/>
        <v>23.799720000000001</v>
      </c>
      <c r="E358" s="1">
        <f t="shared" si="106"/>
        <v>3.7623376089588954</v>
      </c>
      <c r="I358" t="s">
        <v>5</v>
      </c>
      <c r="J358" s="1">
        <f t="shared" si="107"/>
        <v>3.7623376089588954</v>
      </c>
      <c r="K358" s="1">
        <f t="shared" si="108"/>
        <v>3.4151077021331759</v>
      </c>
      <c r="U358" s="1">
        <f t="shared" si="104"/>
        <v>3.6662131796572863</v>
      </c>
    </row>
    <row r="359" spans="1:25" x14ac:dyDescent="0.25">
      <c r="A359" t="s">
        <v>6</v>
      </c>
      <c r="B359">
        <v>30.5259</v>
      </c>
      <c r="C359">
        <v>6.5419</v>
      </c>
      <c r="D359">
        <f t="shared" si="105"/>
        <v>23.984000000000002</v>
      </c>
      <c r="E359" s="1">
        <f t="shared" si="106"/>
        <v>3.6662131796572863</v>
      </c>
      <c r="I359" t="s">
        <v>6</v>
      </c>
      <c r="J359" s="1">
        <f t="shared" si="107"/>
        <v>3.6662131796572863</v>
      </c>
      <c r="K359" s="1">
        <f t="shared" si="108"/>
        <v>3.3070820403858203</v>
      </c>
      <c r="U359" s="1">
        <f t="shared" si="104"/>
        <v>3.4391955501135234</v>
      </c>
    </row>
    <row r="360" spans="1:25" x14ac:dyDescent="0.25">
      <c r="A360" t="s">
        <v>7</v>
      </c>
      <c r="B360">
        <v>28.858499999999999</v>
      </c>
      <c r="C360">
        <v>6.5008400000000002</v>
      </c>
      <c r="D360">
        <f t="shared" si="105"/>
        <v>22.357659999999999</v>
      </c>
      <c r="E360" s="1">
        <f t="shared" si="106"/>
        <v>3.4391955501135234</v>
      </c>
      <c r="I360" t="s">
        <v>7</v>
      </c>
      <c r="J360" s="1">
        <f t="shared" si="107"/>
        <v>3.4391955501135234</v>
      </c>
      <c r="K360" s="1">
        <f t="shared" si="108"/>
        <v>3.2594187828034533</v>
      </c>
      <c r="U360" s="1">
        <f t="shared" si="104"/>
        <v>3.6418398030412011</v>
      </c>
    </row>
    <row r="361" spans="1:25" x14ac:dyDescent="0.25">
      <c r="A361" t="s">
        <v>8</v>
      </c>
      <c r="B361">
        <v>29.299199999999999</v>
      </c>
      <c r="C361">
        <v>6.3119800000000001</v>
      </c>
      <c r="D361">
        <f t="shared" si="105"/>
        <v>22.987220000000001</v>
      </c>
      <c r="E361" s="1">
        <f t="shared" si="106"/>
        <v>3.6418398030412011</v>
      </c>
      <c r="I361" t="s">
        <v>8</v>
      </c>
      <c r="J361" s="1">
        <f t="shared" si="107"/>
        <v>3.6418398030412011</v>
      </c>
      <c r="K361" s="1">
        <f t="shared" si="108"/>
        <v>3.3310340020088778</v>
      </c>
      <c r="U361" s="1">
        <f t="shared" si="104"/>
        <v>3.6828555159073959</v>
      </c>
    </row>
    <row r="362" spans="1:25" x14ac:dyDescent="0.25">
      <c r="A362" t="s">
        <v>9</v>
      </c>
      <c r="B362">
        <v>28.700800000000001</v>
      </c>
      <c r="C362">
        <v>6.1289100000000003</v>
      </c>
      <c r="D362">
        <f t="shared" si="105"/>
        <v>22.57189</v>
      </c>
      <c r="E362" s="1">
        <f t="shared" si="106"/>
        <v>3.6828555159073959</v>
      </c>
      <c r="I362" t="s">
        <v>9</v>
      </c>
      <c r="J362" s="1">
        <f t="shared" si="107"/>
        <v>3.6828555159073959</v>
      </c>
      <c r="K362" s="1">
        <f t="shared" si="108"/>
        <v>3.3401681538805428</v>
      </c>
      <c r="U362" s="1">
        <f t="shared" si="104"/>
        <v>3.3492240619544056</v>
      </c>
    </row>
    <row r="363" spans="1:25" x14ac:dyDescent="0.25">
      <c r="A363" t="s">
        <v>10</v>
      </c>
      <c r="B363">
        <v>25.9573</v>
      </c>
      <c r="C363">
        <v>5.9682599999999999</v>
      </c>
      <c r="D363">
        <f t="shared" si="105"/>
        <v>19.989039999999999</v>
      </c>
      <c r="E363" s="1">
        <f t="shared" si="106"/>
        <v>3.3492240619544056</v>
      </c>
      <c r="I363" t="s">
        <v>10</v>
      </c>
      <c r="J363" s="1">
        <f t="shared" si="107"/>
        <v>3.3492240619544056</v>
      </c>
      <c r="K363" s="1">
        <f t="shared" si="108"/>
        <v>3.0501419174097641</v>
      </c>
      <c r="U363" s="1">
        <f t="shared" si="104"/>
        <v>2.2313749991417842</v>
      </c>
    </row>
    <row r="364" spans="1:25" x14ac:dyDescent="0.25">
      <c r="A364" t="s">
        <v>11</v>
      </c>
      <c r="B364">
        <v>47.065300000000001</v>
      </c>
      <c r="C364">
        <v>14.565099999999999</v>
      </c>
      <c r="D364">
        <f t="shared" si="105"/>
        <v>32.5002</v>
      </c>
      <c r="E364" s="1">
        <f t="shared" si="106"/>
        <v>2.2313749991417842</v>
      </c>
      <c r="I364" t="s">
        <v>11</v>
      </c>
      <c r="J364" s="1">
        <f t="shared" si="107"/>
        <v>2.2313749991417842</v>
      </c>
      <c r="K364" s="1">
        <f t="shared" si="108"/>
        <v>2.4755202504617202</v>
      </c>
      <c r="U364" s="1">
        <f t="shared" ref="U364:U373" si="109">K355</f>
        <v>3.4459172731280292</v>
      </c>
    </row>
    <row r="365" spans="1:25" x14ac:dyDescent="0.25">
      <c r="U365" s="1">
        <f t="shared" si="109"/>
        <v>3.3041220332677073</v>
      </c>
    </row>
    <row r="366" spans="1:25" x14ac:dyDescent="0.25">
      <c r="U366" s="1">
        <f t="shared" si="109"/>
        <v>3.3531496056974013</v>
      </c>
    </row>
    <row r="367" spans="1:25" x14ac:dyDescent="0.25">
      <c r="A367" t="s">
        <v>1</v>
      </c>
      <c r="B367" t="s">
        <v>14</v>
      </c>
      <c r="C367" t="s">
        <v>13</v>
      </c>
      <c r="I367" t="s">
        <v>19</v>
      </c>
      <c r="J367" s="2">
        <f>AVERAGE(J355:J364)</f>
        <v>3.4846977409161375</v>
      </c>
      <c r="K367" s="2">
        <f>AVERAGE(K355:K364)</f>
        <v>3.2281661761176492</v>
      </c>
      <c r="U367" s="1">
        <f t="shared" si="109"/>
        <v>3.4151077021331759</v>
      </c>
    </row>
    <row r="368" spans="1:25" x14ac:dyDescent="0.25">
      <c r="A368" t="s">
        <v>2</v>
      </c>
      <c r="B368">
        <v>29.1465</v>
      </c>
      <c r="C368">
        <v>6.55579</v>
      </c>
      <c r="D368">
        <f t="shared" ref="D368:D377" si="110">B368-C368</f>
        <v>22.590710000000001</v>
      </c>
      <c r="E368" s="1">
        <f t="shared" ref="E368:E377" si="111">D368/C368</f>
        <v>3.4459172731280292</v>
      </c>
      <c r="N368" t="s">
        <v>20</v>
      </c>
      <c r="O368" s="2">
        <f>MIN(U354:U373)</f>
        <v>2.2313749991417842</v>
      </c>
      <c r="U368" s="1">
        <f t="shared" si="109"/>
        <v>3.3070820403858203</v>
      </c>
    </row>
    <row r="369" spans="1:25" x14ac:dyDescent="0.25">
      <c r="A369" t="s">
        <v>3</v>
      </c>
      <c r="B369">
        <v>27.764600000000002</v>
      </c>
      <c r="C369">
        <v>6.4507000000000003</v>
      </c>
      <c r="D369">
        <f t="shared" si="110"/>
        <v>21.3139</v>
      </c>
      <c r="E369" s="1">
        <f t="shared" si="111"/>
        <v>3.3041220332677073</v>
      </c>
      <c r="N369" t="s">
        <v>21</v>
      </c>
      <c r="O369" s="2">
        <f>MAX(U354:U373)</f>
        <v>3.7763498535042705</v>
      </c>
      <c r="U369" s="1">
        <f t="shared" si="109"/>
        <v>3.2594187828034533</v>
      </c>
    </row>
    <row r="370" spans="1:25" x14ac:dyDescent="0.25">
      <c r="A370" t="s">
        <v>4</v>
      </c>
      <c r="B370">
        <v>28.478000000000002</v>
      </c>
      <c r="C370">
        <v>6.5419299999999998</v>
      </c>
      <c r="D370">
        <f t="shared" si="110"/>
        <v>21.936070000000001</v>
      </c>
      <c r="E370" s="1">
        <f t="shared" si="111"/>
        <v>3.3531496056974013</v>
      </c>
      <c r="N370" t="s">
        <v>22</v>
      </c>
      <c r="O370" s="2">
        <f>AVERAGE(U354:U373)</f>
        <v>3.3564319585168931</v>
      </c>
      <c r="U370" s="1">
        <f t="shared" si="109"/>
        <v>3.3310340020088778</v>
      </c>
    </row>
    <row r="371" spans="1:25" x14ac:dyDescent="0.25">
      <c r="A371" t="s">
        <v>5</v>
      </c>
      <c r="B371">
        <v>27.928999999999998</v>
      </c>
      <c r="C371">
        <v>6.32578</v>
      </c>
      <c r="D371">
        <f t="shared" si="110"/>
        <v>21.60322</v>
      </c>
      <c r="E371" s="1">
        <f t="shared" si="111"/>
        <v>3.4151077021331759</v>
      </c>
      <c r="U371" s="1">
        <f t="shared" si="109"/>
        <v>3.3401681538805428</v>
      </c>
    </row>
    <row r="372" spans="1:25" x14ac:dyDescent="0.25">
      <c r="A372" t="s">
        <v>6</v>
      </c>
      <c r="B372">
        <v>28.176500000000001</v>
      </c>
      <c r="C372">
        <v>6.5419</v>
      </c>
      <c r="D372">
        <f t="shared" si="110"/>
        <v>21.634599999999999</v>
      </c>
      <c r="E372" s="1">
        <f t="shared" si="111"/>
        <v>3.3070820403858203</v>
      </c>
      <c r="U372" s="1">
        <f t="shared" si="109"/>
        <v>3.0501419174097641</v>
      </c>
    </row>
    <row r="373" spans="1:25" x14ac:dyDescent="0.25">
      <c r="A373" t="s">
        <v>7</v>
      </c>
      <c r="B373">
        <v>27.689800000000002</v>
      </c>
      <c r="C373">
        <v>6.5008400000000002</v>
      </c>
      <c r="D373">
        <f t="shared" si="110"/>
        <v>21.188960000000002</v>
      </c>
      <c r="E373" s="1">
        <f t="shared" si="111"/>
        <v>3.2594187828034533</v>
      </c>
      <c r="U373" s="1">
        <f t="shared" si="109"/>
        <v>2.4755202504617202</v>
      </c>
    </row>
    <row r="374" spans="1:25" x14ac:dyDescent="0.25">
      <c r="A374" t="s">
        <v>8</v>
      </c>
      <c r="B374">
        <v>27.337399999999999</v>
      </c>
      <c r="C374">
        <v>6.3119800000000001</v>
      </c>
      <c r="D374">
        <f t="shared" si="110"/>
        <v>21.025419999999997</v>
      </c>
      <c r="E374" s="1">
        <f t="shared" si="111"/>
        <v>3.3310340020088778</v>
      </c>
    </row>
    <row r="375" spans="1:25" x14ac:dyDescent="0.25">
      <c r="A375" t="s">
        <v>9</v>
      </c>
      <c r="B375">
        <v>26.6005</v>
      </c>
      <c r="C375">
        <v>6.1289100000000003</v>
      </c>
      <c r="D375">
        <f t="shared" si="110"/>
        <v>20.471589999999999</v>
      </c>
      <c r="E375" s="1">
        <f t="shared" si="111"/>
        <v>3.3401681538805428</v>
      </c>
    </row>
    <row r="376" spans="1:25" x14ac:dyDescent="0.25">
      <c r="A376" t="s">
        <v>10</v>
      </c>
      <c r="B376">
        <v>24.1723</v>
      </c>
      <c r="C376">
        <v>5.9682599999999999</v>
      </c>
      <c r="D376">
        <f t="shared" si="110"/>
        <v>18.204039999999999</v>
      </c>
      <c r="E376" s="1">
        <f t="shared" si="111"/>
        <v>3.0501419174097641</v>
      </c>
    </row>
    <row r="377" spans="1:25" x14ac:dyDescent="0.25">
      <c r="A377" t="s">
        <v>11</v>
      </c>
      <c r="B377">
        <v>50.621299999999998</v>
      </c>
      <c r="C377">
        <v>14.565099999999999</v>
      </c>
      <c r="D377">
        <f t="shared" si="110"/>
        <v>36.056199999999997</v>
      </c>
      <c r="E377" s="1">
        <f t="shared" si="111"/>
        <v>2.4755202504617202</v>
      </c>
    </row>
    <row r="379" spans="1:25" x14ac:dyDescent="0.25">
      <c r="A379" s="6" t="s">
        <v>39</v>
      </c>
      <c r="B379" s="6"/>
    </row>
    <row r="381" spans="1:25" x14ac:dyDescent="0.25">
      <c r="A381" t="s">
        <v>1</v>
      </c>
      <c r="B381" t="s">
        <v>12</v>
      </c>
      <c r="C381" t="s">
        <v>13</v>
      </c>
      <c r="E381" t="s">
        <v>15</v>
      </c>
      <c r="I381" t="s">
        <v>16</v>
      </c>
      <c r="J381" t="s">
        <v>17</v>
      </c>
      <c r="K381" t="s">
        <v>18</v>
      </c>
      <c r="U381" s="1">
        <f t="shared" ref="U381:U390" si="112">J382</f>
        <v>1.3938055735566621</v>
      </c>
      <c r="W381" s="2">
        <f>O395</f>
        <v>0.99820109006281521</v>
      </c>
      <c r="X381" s="2">
        <f>O396</f>
        <v>1.4297210517166314</v>
      </c>
      <c r="Y381" s="2">
        <f>O397</f>
        <v>1.297401800753383</v>
      </c>
    </row>
    <row r="382" spans="1:25" x14ac:dyDescent="0.25">
      <c r="A382" t="s">
        <v>2</v>
      </c>
      <c r="B382">
        <v>6.52060712642891</v>
      </c>
      <c r="C382">
        <v>2.7239501814429898</v>
      </c>
      <c r="D382">
        <f t="shared" ref="D382:D391" si="113">B382-C382</f>
        <v>3.7966569449859202</v>
      </c>
      <c r="E382" s="1">
        <f t="shared" ref="E382:E391" si="114">D382/C382</f>
        <v>1.3938055735566621</v>
      </c>
      <c r="I382" t="s">
        <v>2</v>
      </c>
      <c r="J382" s="1">
        <f t="shared" ref="J382:J391" si="115">E382</f>
        <v>1.3938055735566621</v>
      </c>
      <c r="K382" s="1">
        <f t="shared" ref="K382:K391" si="116">E395</f>
        <v>1.2789398281687343</v>
      </c>
      <c r="U382" s="1">
        <f t="shared" si="112"/>
        <v>1.3615128177670772</v>
      </c>
    </row>
    <row r="383" spans="1:25" x14ac:dyDescent="0.25">
      <c r="A383" t="s">
        <v>3</v>
      </c>
      <c r="B383">
        <v>6.4615751173933997</v>
      </c>
      <c r="C383">
        <v>2.7362015860253202</v>
      </c>
      <c r="D383">
        <f t="shared" si="113"/>
        <v>3.7253735313680796</v>
      </c>
      <c r="E383" s="1">
        <f t="shared" si="114"/>
        <v>1.3615128177670772</v>
      </c>
      <c r="I383" t="s">
        <v>3</v>
      </c>
      <c r="J383" s="1">
        <f t="shared" si="115"/>
        <v>1.3615128177670772</v>
      </c>
      <c r="K383" s="1">
        <f t="shared" si="116"/>
        <v>1.2589279945786653</v>
      </c>
      <c r="U383" s="1">
        <f t="shared" si="112"/>
        <v>1.3470881847154668</v>
      </c>
    </row>
    <row r="384" spans="1:25" x14ac:dyDescent="0.25">
      <c r="A384" t="s">
        <v>4</v>
      </c>
      <c r="B384">
        <v>6.4961854589636596</v>
      </c>
      <c r="C384">
        <v>2.7677636917383999</v>
      </c>
      <c r="D384">
        <f t="shared" si="113"/>
        <v>3.7284217672252598</v>
      </c>
      <c r="E384" s="1">
        <f t="shared" si="114"/>
        <v>1.3470881847154668</v>
      </c>
      <c r="I384" t="s">
        <v>4</v>
      </c>
      <c r="J384" s="1">
        <f t="shared" si="115"/>
        <v>1.3470881847154668</v>
      </c>
      <c r="K384" s="1">
        <f t="shared" si="116"/>
        <v>1.2781935603195294</v>
      </c>
      <c r="U384" s="1">
        <f t="shared" si="112"/>
        <v>1.4297210517166314</v>
      </c>
    </row>
    <row r="385" spans="1:21" x14ac:dyDescent="0.25">
      <c r="A385" t="s">
        <v>5</v>
      </c>
      <c r="B385">
        <v>6.7092887590691301</v>
      </c>
      <c r="C385">
        <v>2.76134116479294</v>
      </c>
      <c r="D385">
        <f t="shared" si="113"/>
        <v>3.9479475942761901</v>
      </c>
      <c r="E385" s="1">
        <f t="shared" si="114"/>
        <v>1.4297210517166314</v>
      </c>
      <c r="I385" t="s">
        <v>5</v>
      </c>
      <c r="J385" s="1">
        <f t="shared" si="115"/>
        <v>1.4297210517166314</v>
      </c>
      <c r="K385" s="1">
        <f t="shared" si="116"/>
        <v>1.2869689084114058</v>
      </c>
      <c r="U385" s="1">
        <f t="shared" si="112"/>
        <v>1.4009111926484874</v>
      </c>
    </row>
    <row r="386" spans="1:21" x14ac:dyDescent="0.25">
      <c r="A386" t="s">
        <v>6</v>
      </c>
      <c r="B386">
        <v>6.65047793634497</v>
      </c>
      <c r="C386">
        <v>2.76998081258004</v>
      </c>
      <c r="D386">
        <f t="shared" si="113"/>
        <v>3.8804971237649299</v>
      </c>
      <c r="E386" s="1">
        <f t="shared" si="114"/>
        <v>1.4009111926484874</v>
      </c>
      <c r="I386" t="s">
        <v>6</v>
      </c>
      <c r="J386" s="1">
        <f t="shared" si="115"/>
        <v>1.4009111926484874</v>
      </c>
      <c r="K386" s="1">
        <f t="shared" si="116"/>
        <v>1.2994152623179027</v>
      </c>
      <c r="U386" s="1">
        <f t="shared" si="112"/>
        <v>1.3819850445823432</v>
      </c>
    </row>
    <row r="387" spans="1:21" x14ac:dyDescent="0.25">
      <c r="A387" t="s">
        <v>7</v>
      </c>
      <c r="B387">
        <v>6.5625195783421004</v>
      </c>
      <c r="C387">
        <v>2.7550633003629001</v>
      </c>
      <c r="D387">
        <f t="shared" si="113"/>
        <v>3.8074562779792003</v>
      </c>
      <c r="E387" s="1">
        <f t="shared" si="114"/>
        <v>1.3819850445823432</v>
      </c>
      <c r="I387" t="s">
        <v>7</v>
      </c>
      <c r="J387" s="1">
        <f t="shared" si="115"/>
        <v>1.3819850445823432</v>
      </c>
      <c r="K387" s="1">
        <f t="shared" si="116"/>
        <v>1.3113882228416953</v>
      </c>
      <c r="U387" s="1">
        <f t="shared" si="112"/>
        <v>1.3468549871877851</v>
      </c>
    </row>
    <row r="388" spans="1:21" x14ac:dyDescent="0.25">
      <c r="A388" t="s">
        <v>8</v>
      </c>
      <c r="B388">
        <v>6.5042037182558499</v>
      </c>
      <c r="C388">
        <v>2.7714553109435101</v>
      </c>
      <c r="D388">
        <f t="shared" si="113"/>
        <v>3.7327484073123398</v>
      </c>
      <c r="E388" s="1">
        <f t="shared" si="114"/>
        <v>1.3468549871877851</v>
      </c>
      <c r="I388" t="s">
        <v>8</v>
      </c>
      <c r="J388" s="1">
        <f t="shared" si="115"/>
        <v>1.3468549871877851</v>
      </c>
      <c r="K388" s="1">
        <f t="shared" si="116"/>
        <v>1.2870347223984318</v>
      </c>
      <c r="U388" s="1">
        <f t="shared" si="112"/>
        <v>1.3431312971335521</v>
      </c>
    </row>
    <row r="389" spans="1:21" x14ac:dyDescent="0.25">
      <c r="A389" t="s">
        <v>9</v>
      </c>
      <c r="B389">
        <v>6.6246113258949499</v>
      </c>
      <c r="C389">
        <v>2.82724716877757</v>
      </c>
      <c r="D389">
        <f t="shared" si="113"/>
        <v>3.79736415711738</v>
      </c>
      <c r="E389" s="1">
        <f t="shared" si="114"/>
        <v>1.3431312971335521</v>
      </c>
      <c r="I389" t="s">
        <v>9</v>
      </c>
      <c r="J389" s="1">
        <f t="shared" si="115"/>
        <v>1.3431312971335521</v>
      </c>
      <c r="K389" s="1">
        <f t="shared" si="116"/>
        <v>1.2472919383780363</v>
      </c>
      <c r="U389" s="1">
        <f t="shared" si="112"/>
        <v>1.3657888921209305</v>
      </c>
    </row>
    <row r="390" spans="1:21" x14ac:dyDescent="0.25">
      <c r="A390" t="s">
        <v>10</v>
      </c>
      <c r="B390">
        <v>6.7986601978097099</v>
      </c>
      <c r="C390">
        <v>2.8737391660143898</v>
      </c>
      <c r="D390">
        <f t="shared" si="113"/>
        <v>3.92492103179532</v>
      </c>
      <c r="E390" s="1">
        <f t="shared" si="114"/>
        <v>1.3657888921209305</v>
      </c>
      <c r="I390" t="s">
        <v>10</v>
      </c>
      <c r="J390" s="1">
        <f t="shared" si="115"/>
        <v>1.3657888921209305</v>
      </c>
      <c r="K390" s="1">
        <f t="shared" si="116"/>
        <v>1.2002175941241251</v>
      </c>
      <c r="U390" s="1">
        <f t="shared" si="112"/>
        <v>1.1306578520373787</v>
      </c>
    </row>
    <row r="391" spans="1:21" x14ac:dyDescent="0.25">
      <c r="A391" t="s">
        <v>11</v>
      </c>
      <c r="B391">
        <v>14.0336275188227</v>
      </c>
      <c r="C391">
        <v>6.5865232681087003</v>
      </c>
      <c r="D391">
        <f t="shared" si="113"/>
        <v>7.4471042507139993</v>
      </c>
      <c r="E391" s="1">
        <f t="shared" si="114"/>
        <v>1.1306578520373787</v>
      </c>
      <c r="I391" t="s">
        <v>11</v>
      </c>
      <c r="J391" s="1">
        <f t="shared" si="115"/>
        <v>1.1306578520373787</v>
      </c>
      <c r="K391" s="1">
        <f t="shared" si="116"/>
        <v>0.99820109006281521</v>
      </c>
      <c r="U391" s="1">
        <f t="shared" ref="U391:U400" si="117">K382</f>
        <v>1.2789398281687343</v>
      </c>
    </row>
    <row r="392" spans="1:21" x14ac:dyDescent="0.25">
      <c r="U392" s="1">
        <f t="shared" si="117"/>
        <v>1.2589279945786653</v>
      </c>
    </row>
    <row r="393" spans="1:21" x14ac:dyDescent="0.25">
      <c r="U393" s="1">
        <f t="shared" si="117"/>
        <v>1.2781935603195294</v>
      </c>
    </row>
    <row r="394" spans="1:21" x14ac:dyDescent="0.25">
      <c r="A394" t="s">
        <v>1</v>
      </c>
      <c r="B394" t="s">
        <v>14</v>
      </c>
      <c r="C394" t="s">
        <v>13</v>
      </c>
      <c r="I394" t="s">
        <v>19</v>
      </c>
      <c r="J394" s="2">
        <f>AVERAGE(J382:J391)</f>
        <v>1.3501456893466313</v>
      </c>
      <c r="K394" s="2">
        <f>AVERAGE(K382:K391)</f>
        <v>1.2446579121601342</v>
      </c>
      <c r="U394" s="1">
        <f t="shared" si="117"/>
        <v>1.2869689084114058</v>
      </c>
    </row>
    <row r="395" spans="1:21" x14ac:dyDescent="0.25">
      <c r="A395" t="s">
        <v>2</v>
      </c>
      <c r="B395">
        <v>6.2077185584378798</v>
      </c>
      <c r="C395">
        <v>2.7239501814429898</v>
      </c>
      <c r="D395">
        <f t="shared" ref="D395:D404" si="118">B395-C395</f>
        <v>3.4837683769948899</v>
      </c>
      <c r="E395" s="1">
        <f t="shared" ref="E395:E404" si="119">D395/C395</f>
        <v>1.2789398281687343</v>
      </c>
      <c r="N395" t="s">
        <v>20</v>
      </c>
      <c r="O395" s="2">
        <f>MIN(U381:U400)</f>
        <v>0.99820109006281521</v>
      </c>
      <c r="U395" s="1">
        <f t="shared" si="117"/>
        <v>1.2994152623179027</v>
      </c>
    </row>
    <row r="396" spans="1:21" x14ac:dyDescent="0.25">
      <c r="A396" t="s">
        <v>3</v>
      </c>
      <c r="B396">
        <v>6.1808823614831399</v>
      </c>
      <c r="C396">
        <v>2.7362015860253202</v>
      </c>
      <c r="D396">
        <f t="shared" si="118"/>
        <v>3.4446807754578197</v>
      </c>
      <c r="E396" s="1">
        <f t="shared" si="119"/>
        <v>1.2589279945786653</v>
      </c>
      <c r="N396" t="s">
        <v>21</v>
      </c>
      <c r="O396" s="2">
        <f>MAX(U381:U400)</f>
        <v>1.4297210517166314</v>
      </c>
      <c r="U396" s="1">
        <f t="shared" si="117"/>
        <v>1.3113882228416953</v>
      </c>
    </row>
    <row r="397" spans="1:21" x14ac:dyDescent="0.25">
      <c r="A397" t="s">
        <v>4</v>
      </c>
      <c r="B397">
        <v>6.3055014190046297</v>
      </c>
      <c r="C397">
        <v>2.7677636917383999</v>
      </c>
      <c r="D397">
        <f t="shared" si="118"/>
        <v>3.5377377272662298</v>
      </c>
      <c r="E397" s="1">
        <f t="shared" si="119"/>
        <v>1.2781935603195294</v>
      </c>
      <c r="N397" t="s">
        <v>22</v>
      </c>
      <c r="O397" s="2">
        <f>AVERAGE(U381:U400)</f>
        <v>1.297401800753383</v>
      </c>
      <c r="U397" s="1">
        <f t="shared" si="117"/>
        <v>1.2870347223984318</v>
      </c>
    </row>
    <row r="398" spans="1:21" x14ac:dyDescent="0.25">
      <c r="A398" t="s">
        <v>5</v>
      </c>
      <c r="B398">
        <v>6.3151013893979897</v>
      </c>
      <c r="C398">
        <v>2.76134116479294</v>
      </c>
      <c r="D398">
        <f t="shared" si="118"/>
        <v>3.5537602246050497</v>
      </c>
      <c r="E398" s="1">
        <f t="shared" si="119"/>
        <v>1.2869689084114058</v>
      </c>
      <c r="U398" s="1">
        <f t="shared" si="117"/>
        <v>1.2472919383780363</v>
      </c>
    </row>
    <row r="399" spans="1:21" x14ac:dyDescent="0.25">
      <c r="A399" t="s">
        <v>6</v>
      </c>
      <c r="B399">
        <v>6.3693361567742901</v>
      </c>
      <c r="C399">
        <v>2.76998081258004</v>
      </c>
      <c r="D399">
        <f t="shared" si="118"/>
        <v>3.5993553441942501</v>
      </c>
      <c r="E399" s="1">
        <f t="shared" si="119"/>
        <v>1.2994152623179027</v>
      </c>
      <c r="U399" s="1">
        <f t="shared" si="117"/>
        <v>1.2002175941241251</v>
      </c>
    </row>
    <row r="400" spans="1:21" x14ac:dyDescent="0.25">
      <c r="A400" t="s">
        <v>7</v>
      </c>
      <c r="B400">
        <v>6.3680208656421797</v>
      </c>
      <c r="C400">
        <v>2.7550633003629001</v>
      </c>
      <c r="D400">
        <f t="shared" si="118"/>
        <v>3.6129575652792796</v>
      </c>
      <c r="E400" s="1">
        <f t="shared" si="119"/>
        <v>1.3113882228416953</v>
      </c>
      <c r="U400" s="1">
        <f t="shared" si="117"/>
        <v>0.99820109006281521</v>
      </c>
    </row>
    <row r="401" spans="1:25" x14ac:dyDescent="0.25">
      <c r="A401" t="s">
        <v>8</v>
      </c>
      <c r="B401">
        <v>6.3384145277033497</v>
      </c>
      <c r="C401">
        <v>2.7714553109435101</v>
      </c>
      <c r="D401">
        <f t="shared" si="118"/>
        <v>3.5669592167598396</v>
      </c>
      <c r="E401" s="1">
        <f t="shared" si="119"/>
        <v>1.2870347223984318</v>
      </c>
    </row>
    <row r="402" spans="1:25" x14ac:dyDescent="0.25">
      <c r="A402" t="s">
        <v>9</v>
      </c>
      <c r="B402">
        <v>6.3536497701959602</v>
      </c>
      <c r="C402">
        <v>2.82724716877757</v>
      </c>
      <c r="D402">
        <f t="shared" si="118"/>
        <v>3.5264026014183902</v>
      </c>
      <c r="E402" s="1">
        <f t="shared" si="119"/>
        <v>1.2472919383780363</v>
      </c>
    </row>
    <row r="403" spans="1:25" x14ac:dyDescent="0.25">
      <c r="A403" t="s">
        <v>10</v>
      </c>
      <c r="B403">
        <v>6.3228514739884503</v>
      </c>
      <c r="C403">
        <v>2.8737391660143898</v>
      </c>
      <c r="D403">
        <f t="shared" si="118"/>
        <v>3.4491123079740604</v>
      </c>
      <c r="E403" s="1">
        <f t="shared" si="119"/>
        <v>1.2002175941241251</v>
      </c>
    </row>
    <row r="404" spans="1:25" x14ac:dyDescent="0.25">
      <c r="A404" t="s">
        <v>11</v>
      </c>
      <c r="B404">
        <v>13.161197974058901</v>
      </c>
      <c r="C404">
        <v>6.5865232681087003</v>
      </c>
      <c r="D404">
        <f t="shared" si="118"/>
        <v>6.5746747059502004</v>
      </c>
      <c r="E404" s="1">
        <f t="shared" si="119"/>
        <v>0.99820109006281521</v>
      </c>
    </row>
    <row r="406" spans="1:25" x14ac:dyDescent="0.25">
      <c r="A406" s="6" t="s">
        <v>40</v>
      </c>
      <c r="B406" s="6"/>
    </row>
    <row r="408" spans="1:25" x14ac:dyDescent="0.25">
      <c r="A408" t="s">
        <v>1</v>
      </c>
      <c r="B408" t="s">
        <v>12</v>
      </c>
      <c r="C408" t="s">
        <v>13</v>
      </c>
      <c r="E408" t="s">
        <v>15</v>
      </c>
      <c r="I408" t="s">
        <v>16</v>
      </c>
      <c r="J408" t="s">
        <v>17</v>
      </c>
      <c r="K408" t="s">
        <v>18</v>
      </c>
      <c r="U408" s="1">
        <f t="shared" ref="U408:U417" si="120">J409</f>
        <v>1.9731325411410559</v>
      </c>
      <c r="W408" s="2">
        <f>O422</f>
        <v>1.7940577263693587</v>
      </c>
      <c r="X408" s="2">
        <f>O423</f>
        <v>2.152369453667371</v>
      </c>
      <c r="Y408" s="2">
        <f>O424</f>
        <v>1.9569189349877014</v>
      </c>
    </row>
    <row r="409" spans="1:25" x14ac:dyDescent="0.25">
      <c r="A409" t="s">
        <v>2</v>
      </c>
      <c r="B409">
        <v>35.753999999999998</v>
      </c>
      <c r="C409">
        <v>12.025700000000001</v>
      </c>
      <c r="D409">
        <f t="shared" ref="D409:D418" si="121">B409-C409</f>
        <v>23.728299999999997</v>
      </c>
      <c r="E409" s="1">
        <f t="shared" ref="E409:E418" si="122">D409/C409</f>
        <v>1.9731325411410559</v>
      </c>
      <c r="I409" t="s">
        <v>2</v>
      </c>
      <c r="J409" s="1">
        <f t="shared" ref="J409:J418" si="123">E409</f>
        <v>1.9731325411410559</v>
      </c>
      <c r="K409" s="1">
        <f t="shared" ref="K409:K418" si="124">E422</f>
        <v>1.7940577263693587</v>
      </c>
      <c r="U409" s="1">
        <f t="shared" si="120"/>
        <v>2.0042154919328534</v>
      </c>
    </row>
    <row r="410" spans="1:25" x14ac:dyDescent="0.25">
      <c r="A410" t="s">
        <v>3</v>
      </c>
      <c r="B410">
        <v>35.918100000000003</v>
      </c>
      <c r="C410">
        <v>11.9559</v>
      </c>
      <c r="D410">
        <f t="shared" si="121"/>
        <v>23.962200000000003</v>
      </c>
      <c r="E410" s="1">
        <f t="shared" si="122"/>
        <v>2.0042154919328534</v>
      </c>
      <c r="I410" t="s">
        <v>3</v>
      </c>
      <c r="J410" s="1">
        <f t="shared" si="123"/>
        <v>2.0042154919328534</v>
      </c>
      <c r="K410" s="1">
        <f t="shared" si="124"/>
        <v>1.8708252829147118</v>
      </c>
      <c r="U410" s="1">
        <f t="shared" si="120"/>
        <v>1.948529042412471</v>
      </c>
    </row>
    <row r="411" spans="1:25" x14ac:dyDescent="0.25">
      <c r="A411" t="s">
        <v>4</v>
      </c>
      <c r="B411">
        <v>35.219000000000001</v>
      </c>
      <c r="C411">
        <v>11.944599999999999</v>
      </c>
      <c r="D411">
        <f t="shared" si="121"/>
        <v>23.2744</v>
      </c>
      <c r="E411" s="1">
        <f t="shared" si="122"/>
        <v>1.948529042412471</v>
      </c>
      <c r="I411" t="s">
        <v>4</v>
      </c>
      <c r="J411" s="1">
        <f t="shared" si="123"/>
        <v>1.948529042412471</v>
      </c>
      <c r="K411" s="1">
        <f t="shared" si="124"/>
        <v>1.8476215193476551</v>
      </c>
      <c r="U411" s="1">
        <f t="shared" si="120"/>
        <v>2.152369453667371</v>
      </c>
    </row>
    <row r="412" spans="1:25" x14ac:dyDescent="0.25">
      <c r="A412" t="s">
        <v>5</v>
      </c>
      <c r="B412">
        <v>36.5533</v>
      </c>
      <c r="C412">
        <v>11.595499999999999</v>
      </c>
      <c r="D412">
        <f t="shared" si="121"/>
        <v>24.957799999999999</v>
      </c>
      <c r="E412" s="1">
        <f t="shared" si="122"/>
        <v>2.152369453667371</v>
      </c>
      <c r="I412" t="s">
        <v>5</v>
      </c>
      <c r="J412" s="1">
        <f t="shared" si="123"/>
        <v>2.152369453667371</v>
      </c>
      <c r="K412" s="1">
        <f t="shared" si="124"/>
        <v>1.8438100987452029</v>
      </c>
      <c r="U412" s="1">
        <f t="shared" si="120"/>
        <v>2.1048298572996704</v>
      </c>
    </row>
    <row r="413" spans="1:25" x14ac:dyDescent="0.25">
      <c r="A413" t="s">
        <v>6</v>
      </c>
      <c r="B413">
        <v>36.204799999999999</v>
      </c>
      <c r="C413">
        <v>11.6608</v>
      </c>
      <c r="D413">
        <f t="shared" si="121"/>
        <v>24.543999999999997</v>
      </c>
      <c r="E413" s="1">
        <f t="shared" si="122"/>
        <v>2.1048298572996704</v>
      </c>
      <c r="I413" t="s">
        <v>6</v>
      </c>
      <c r="J413" s="1">
        <f t="shared" si="123"/>
        <v>2.1048298572996704</v>
      </c>
      <c r="K413" s="1">
        <f t="shared" si="124"/>
        <v>1.9352017014270029</v>
      </c>
      <c r="U413" s="1">
        <f t="shared" si="120"/>
        <v>1.9774782978206757</v>
      </c>
    </row>
    <row r="414" spans="1:25" x14ac:dyDescent="0.25">
      <c r="A414" t="s">
        <v>7</v>
      </c>
      <c r="B414">
        <v>34.333599999999997</v>
      </c>
      <c r="C414">
        <v>11.5311</v>
      </c>
      <c r="D414">
        <f t="shared" si="121"/>
        <v>22.802499999999995</v>
      </c>
      <c r="E414" s="1">
        <f t="shared" si="122"/>
        <v>1.9774782978206757</v>
      </c>
      <c r="I414" t="s">
        <v>7</v>
      </c>
      <c r="J414" s="1">
        <f t="shared" si="123"/>
        <v>1.9774782978206757</v>
      </c>
      <c r="K414" s="1">
        <f t="shared" si="124"/>
        <v>1.9360598728655547</v>
      </c>
      <c r="U414" s="1">
        <f t="shared" si="120"/>
        <v>2.0262049268118529</v>
      </c>
    </row>
    <row r="415" spans="1:25" x14ac:dyDescent="0.25">
      <c r="A415" t="s">
        <v>8</v>
      </c>
      <c r="B415">
        <v>33.9056</v>
      </c>
      <c r="C415">
        <v>11.204000000000001</v>
      </c>
      <c r="D415">
        <f t="shared" si="121"/>
        <v>22.701599999999999</v>
      </c>
      <c r="E415" s="1">
        <f t="shared" si="122"/>
        <v>2.0262049268118529</v>
      </c>
      <c r="I415" t="s">
        <v>8</v>
      </c>
      <c r="J415" s="1">
        <f t="shared" si="123"/>
        <v>2.0262049268118529</v>
      </c>
      <c r="K415" s="1">
        <f t="shared" si="124"/>
        <v>2.0383523741520881</v>
      </c>
      <c r="U415" s="1">
        <f t="shared" si="120"/>
        <v>1.9630652181733155</v>
      </c>
    </row>
    <row r="416" spans="1:25" x14ac:dyDescent="0.25">
      <c r="A416" t="s">
        <v>9</v>
      </c>
      <c r="B416">
        <v>32.948099999999997</v>
      </c>
      <c r="C416">
        <v>11.1196</v>
      </c>
      <c r="D416">
        <f t="shared" si="121"/>
        <v>21.828499999999998</v>
      </c>
      <c r="E416" s="1">
        <f t="shared" si="122"/>
        <v>1.9630652181733155</v>
      </c>
      <c r="I416" t="s">
        <v>9</v>
      </c>
      <c r="J416" s="1">
        <f t="shared" si="123"/>
        <v>1.9630652181733155</v>
      </c>
      <c r="K416" s="1">
        <f t="shared" si="124"/>
        <v>1.9728677290550019</v>
      </c>
      <c r="U416" s="1">
        <f t="shared" si="120"/>
        <v>2.0989788564315193</v>
      </c>
    </row>
    <row r="417" spans="1:21" x14ac:dyDescent="0.25">
      <c r="A417" t="s">
        <v>10</v>
      </c>
      <c r="B417">
        <v>33.1098</v>
      </c>
      <c r="C417">
        <v>10.684100000000001</v>
      </c>
      <c r="D417">
        <f t="shared" si="121"/>
        <v>22.425699999999999</v>
      </c>
      <c r="E417" s="1">
        <f t="shared" si="122"/>
        <v>2.0989788564315193</v>
      </c>
      <c r="I417" t="s">
        <v>10</v>
      </c>
      <c r="J417" s="1">
        <f t="shared" si="123"/>
        <v>2.0989788564315193</v>
      </c>
      <c r="K417" s="1">
        <f t="shared" si="124"/>
        <v>1.8014526258646024</v>
      </c>
      <c r="U417" s="1">
        <f t="shared" si="120"/>
        <v>2.0228128557667047</v>
      </c>
    </row>
    <row r="418" spans="1:21" x14ac:dyDescent="0.25">
      <c r="A418" t="s">
        <v>11</v>
      </c>
      <c r="B418">
        <v>75.938500000000005</v>
      </c>
      <c r="C418">
        <v>25.1218</v>
      </c>
      <c r="D418">
        <f t="shared" si="121"/>
        <v>50.816700000000004</v>
      </c>
      <c r="E418" s="1">
        <f t="shared" si="122"/>
        <v>2.0228128557667047</v>
      </c>
      <c r="I418" t="s">
        <v>11</v>
      </c>
      <c r="J418" s="1">
        <f t="shared" si="123"/>
        <v>2.0228128557667047</v>
      </c>
      <c r="K418" s="1">
        <f t="shared" si="124"/>
        <v>1.8265132275553499</v>
      </c>
      <c r="U418" s="1">
        <f t="shared" ref="U418:U427" si="125">K409</f>
        <v>1.7940577263693587</v>
      </c>
    </row>
    <row r="419" spans="1:21" x14ac:dyDescent="0.25">
      <c r="U419" s="1">
        <f t="shared" si="125"/>
        <v>1.8708252829147118</v>
      </c>
    </row>
    <row r="420" spans="1:21" x14ac:dyDescent="0.25">
      <c r="U420" s="1">
        <f t="shared" si="125"/>
        <v>1.8476215193476551</v>
      </c>
    </row>
    <row r="421" spans="1:21" x14ac:dyDescent="0.25">
      <c r="A421" t="s">
        <v>1</v>
      </c>
      <c r="B421" t="s">
        <v>14</v>
      </c>
      <c r="C421" t="s">
        <v>13</v>
      </c>
      <c r="I421" t="s">
        <v>19</v>
      </c>
      <c r="J421" s="2">
        <f>AVERAGE(J409:J418)</f>
        <v>2.0271616541457491</v>
      </c>
      <c r="K421" s="2">
        <f>AVERAGE(K409:K418)</f>
        <v>1.8866762158296528</v>
      </c>
      <c r="U421" s="1">
        <f t="shared" si="125"/>
        <v>1.8438100987452029</v>
      </c>
    </row>
    <row r="422" spans="1:21" x14ac:dyDescent="0.25">
      <c r="A422" t="s">
        <v>2</v>
      </c>
      <c r="B422">
        <v>33.600499999999997</v>
      </c>
      <c r="C422">
        <v>12.025700000000001</v>
      </c>
      <c r="D422">
        <f t="shared" ref="D422:D431" si="126">B422-C422</f>
        <v>21.574799999999996</v>
      </c>
      <c r="E422" s="1">
        <f t="shared" ref="E422:E431" si="127">D422/C422</f>
        <v>1.7940577263693587</v>
      </c>
      <c r="N422" t="s">
        <v>20</v>
      </c>
      <c r="O422" s="2">
        <f>MIN(U408:U427)</f>
        <v>1.7940577263693587</v>
      </c>
      <c r="U422" s="1">
        <f t="shared" si="125"/>
        <v>1.9352017014270029</v>
      </c>
    </row>
    <row r="423" spans="1:21" x14ac:dyDescent="0.25">
      <c r="A423" t="s">
        <v>3</v>
      </c>
      <c r="B423">
        <v>34.323300000000003</v>
      </c>
      <c r="C423">
        <v>11.9559</v>
      </c>
      <c r="D423">
        <f t="shared" si="126"/>
        <v>22.367400000000004</v>
      </c>
      <c r="E423" s="1">
        <f t="shared" si="127"/>
        <v>1.8708252829147118</v>
      </c>
      <c r="N423" t="s">
        <v>21</v>
      </c>
      <c r="O423" s="2">
        <f>MAX(U408:U427)</f>
        <v>2.152369453667371</v>
      </c>
      <c r="U423" s="1">
        <f t="shared" si="125"/>
        <v>1.9360598728655547</v>
      </c>
    </row>
    <row r="424" spans="1:21" x14ac:dyDescent="0.25">
      <c r="A424" t="s">
        <v>4</v>
      </c>
      <c r="B424">
        <v>34.0137</v>
      </c>
      <c r="C424">
        <v>11.944599999999999</v>
      </c>
      <c r="D424">
        <f t="shared" si="126"/>
        <v>22.069099999999999</v>
      </c>
      <c r="E424" s="1">
        <f t="shared" si="127"/>
        <v>1.8476215193476551</v>
      </c>
      <c r="N424" t="s">
        <v>22</v>
      </c>
      <c r="O424" s="2">
        <f>AVERAGE(U408:U427)</f>
        <v>1.9569189349877014</v>
      </c>
      <c r="U424" s="1">
        <f t="shared" si="125"/>
        <v>2.0383523741520881</v>
      </c>
    </row>
    <row r="425" spans="1:21" x14ac:dyDescent="0.25">
      <c r="A425" t="s">
        <v>5</v>
      </c>
      <c r="B425">
        <v>32.9754</v>
      </c>
      <c r="C425">
        <v>11.595499999999999</v>
      </c>
      <c r="D425">
        <f t="shared" si="126"/>
        <v>21.379899999999999</v>
      </c>
      <c r="E425" s="1">
        <f t="shared" si="127"/>
        <v>1.8438100987452029</v>
      </c>
      <c r="U425" s="1">
        <f t="shared" si="125"/>
        <v>1.9728677290550019</v>
      </c>
    </row>
    <row r="426" spans="1:21" x14ac:dyDescent="0.25">
      <c r="A426" t="s">
        <v>6</v>
      </c>
      <c r="B426">
        <v>34.226799999999997</v>
      </c>
      <c r="C426">
        <v>11.6608</v>
      </c>
      <c r="D426">
        <f t="shared" si="126"/>
        <v>22.565999999999995</v>
      </c>
      <c r="E426" s="1">
        <f t="shared" si="127"/>
        <v>1.9352017014270029</v>
      </c>
      <c r="U426" s="1">
        <f t="shared" si="125"/>
        <v>1.8014526258646024</v>
      </c>
    </row>
    <row r="427" spans="1:21" x14ac:dyDescent="0.25">
      <c r="A427" t="s">
        <v>7</v>
      </c>
      <c r="B427">
        <v>33.856000000000002</v>
      </c>
      <c r="C427">
        <v>11.5311</v>
      </c>
      <c r="D427">
        <f t="shared" si="126"/>
        <v>22.3249</v>
      </c>
      <c r="E427" s="1">
        <f t="shared" si="127"/>
        <v>1.9360598728655547</v>
      </c>
      <c r="U427" s="1">
        <f t="shared" si="125"/>
        <v>1.8265132275553499</v>
      </c>
    </row>
    <row r="428" spans="1:21" x14ac:dyDescent="0.25">
      <c r="A428" t="s">
        <v>8</v>
      </c>
      <c r="B428">
        <v>34.041699999999999</v>
      </c>
      <c r="C428">
        <v>11.204000000000001</v>
      </c>
      <c r="D428">
        <f t="shared" si="126"/>
        <v>22.837699999999998</v>
      </c>
      <c r="E428" s="1">
        <f t="shared" si="127"/>
        <v>2.0383523741520881</v>
      </c>
    </row>
    <row r="429" spans="1:21" x14ac:dyDescent="0.25">
      <c r="A429" t="s">
        <v>9</v>
      </c>
      <c r="B429">
        <v>33.057099999999998</v>
      </c>
      <c r="C429">
        <v>11.1196</v>
      </c>
      <c r="D429">
        <f t="shared" si="126"/>
        <v>21.9375</v>
      </c>
      <c r="E429" s="1">
        <f t="shared" si="127"/>
        <v>1.9728677290550019</v>
      </c>
    </row>
    <row r="430" spans="1:21" x14ac:dyDescent="0.25">
      <c r="A430" t="s">
        <v>10</v>
      </c>
      <c r="B430">
        <v>29.931000000000001</v>
      </c>
      <c r="C430">
        <v>10.684100000000001</v>
      </c>
      <c r="D430">
        <f t="shared" si="126"/>
        <v>19.2469</v>
      </c>
      <c r="E430" s="1">
        <f t="shared" si="127"/>
        <v>1.8014526258646024</v>
      </c>
    </row>
    <row r="431" spans="1:21" x14ac:dyDescent="0.25">
      <c r="A431" t="s">
        <v>11</v>
      </c>
      <c r="B431">
        <v>71.007099999999994</v>
      </c>
      <c r="C431">
        <v>25.1218</v>
      </c>
      <c r="D431">
        <f t="shared" si="126"/>
        <v>45.885299999999994</v>
      </c>
      <c r="E431" s="1">
        <f t="shared" si="127"/>
        <v>1.8265132275553499</v>
      </c>
    </row>
    <row r="433" spans="1:25" x14ac:dyDescent="0.25">
      <c r="A433" s="6" t="s">
        <v>41</v>
      </c>
      <c r="B433" s="6"/>
    </row>
    <row r="435" spans="1:25" x14ac:dyDescent="0.25">
      <c r="A435" t="s">
        <v>1</v>
      </c>
      <c r="B435" t="s">
        <v>12</v>
      </c>
      <c r="C435" t="s">
        <v>13</v>
      </c>
      <c r="E435" t="s">
        <v>15</v>
      </c>
      <c r="I435" t="s">
        <v>16</v>
      </c>
      <c r="J435" t="s">
        <v>17</v>
      </c>
      <c r="K435" t="s">
        <v>18</v>
      </c>
      <c r="U435" s="1">
        <f t="shared" ref="U435:U444" si="128">J436</f>
        <v>0.2953337602285403</v>
      </c>
      <c r="W435" s="2">
        <f>O449</f>
        <v>0.28831685645640875</v>
      </c>
      <c r="X435" s="2">
        <f>O450</f>
        <v>0.57596203971754678</v>
      </c>
      <c r="Y435" s="2">
        <f>O451</f>
        <v>0.37815657066780489</v>
      </c>
    </row>
    <row r="436" spans="1:25" x14ac:dyDescent="0.25">
      <c r="A436" t="s">
        <v>2</v>
      </c>
      <c r="B436">
        <v>7.5454749864791602</v>
      </c>
      <c r="C436">
        <v>5.8251203034713503</v>
      </c>
      <c r="D436">
        <f t="shared" ref="D436:D445" si="129">B436-C436</f>
        <v>1.7203546830078098</v>
      </c>
      <c r="E436" s="1">
        <f t="shared" ref="E436:E445" si="130">D436/C436</f>
        <v>0.2953337602285403</v>
      </c>
      <c r="I436" t="s">
        <v>2</v>
      </c>
      <c r="J436" s="1">
        <f t="shared" ref="J436:J445" si="131">E436</f>
        <v>0.2953337602285403</v>
      </c>
      <c r="K436" s="1">
        <f t="shared" ref="K436:K445" si="132">E449</f>
        <v>0.30612378502855242</v>
      </c>
      <c r="U436" s="1">
        <f t="shared" si="128"/>
        <v>0.31283515530846889</v>
      </c>
    </row>
    <row r="437" spans="1:25" x14ac:dyDescent="0.25">
      <c r="A437" t="s">
        <v>3</v>
      </c>
      <c r="B437">
        <v>7.6507715008112296</v>
      </c>
      <c r="C437">
        <v>5.8276711054508397</v>
      </c>
      <c r="D437">
        <f t="shared" si="129"/>
        <v>1.8231003953603899</v>
      </c>
      <c r="E437" s="1">
        <f t="shared" si="130"/>
        <v>0.31283515530846889</v>
      </c>
      <c r="I437" t="s">
        <v>3</v>
      </c>
      <c r="J437" s="1">
        <f t="shared" si="131"/>
        <v>0.31283515530846889</v>
      </c>
      <c r="K437" s="1">
        <f t="shared" si="132"/>
        <v>0.28831685645640875</v>
      </c>
      <c r="U437" s="1">
        <f t="shared" si="128"/>
        <v>0.33964399037619264</v>
      </c>
    </row>
    <row r="438" spans="1:25" x14ac:dyDescent="0.25">
      <c r="A438" t="s">
        <v>4</v>
      </c>
      <c r="B438">
        <v>7.7550320098701704</v>
      </c>
      <c r="C438">
        <v>5.7888753023797301</v>
      </c>
      <c r="D438">
        <f t="shared" si="129"/>
        <v>1.9661567074904402</v>
      </c>
      <c r="E438" s="1">
        <f t="shared" si="130"/>
        <v>0.33964399037619264</v>
      </c>
      <c r="I438" t="s">
        <v>4</v>
      </c>
      <c r="J438" s="1">
        <f t="shared" si="131"/>
        <v>0.33964399037619264</v>
      </c>
      <c r="K438" s="1">
        <f t="shared" si="132"/>
        <v>0.34854276822829849</v>
      </c>
      <c r="U438" s="1">
        <f t="shared" si="128"/>
        <v>0.34877114435833018</v>
      </c>
    </row>
    <row r="439" spans="1:25" x14ac:dyDescent="0.25">
      <c r="A439" t="s">
        <v>5</v>
      </c>
      <c r="B439">
        <v>7.8409704732287802</v>
      </c>
      <c r="C439">
        <v>5.8134180183392603</v>
      </c>
      <c r="D439">
        <f t="shared" si="129"/>
        <v>2.0275524548895199</v>
      </c>
      <c r="E439" s="1">
        <f t="shared" si="130"/>
        <v>0.34877114435833018</v>
      </c>
      <c r="I439" t="s">
        <v>5</v>
      </c>
      <c r="J439" s="1">
        <f t="shared" si="131"/>
        <v>0.34877114435833018</v>
      </c>
      <c r="K439" s="1">
        <f t="shared" si="132"/>
        <v>0.34664264339353373</v>
      </c>
      <c r="U439" s="1">
        <f t="shared" si="128"/>
        <v>0.3383434824149581</v>
      </c>
    </row>
    <row r="440" spans="1:25" x14ac:dyDescent="0.25">
      <c r="A440" t="s">
        <v>6</v>
      </c>
      <c r="B440">
        <v>7.7510205415089199</v>
      </c>
      <c r="C440">
        <v>5.7915031853576799</v>
      </c>
      <c r="D440">
        <f t="shared" si="129"/>
        <v>1.95951735615124</v>
      </c>
      <c r="E440" s="1">
        <f t="shared" si="130"/>
        <v>0.3383434824149581</v>
      </c>
      <c r="I440" t="s">
        <v>6</v>
      </c>
      <c r="J440" s="1">
        <f t="shared" si="131"/>
        <v>0.3383434824149581</v>
      </c>
      <c r="K440" s="1">
        <f t="shared" si="132"/>
        <v>0.35559250535127729</v>
      </c>
      <c r="U440" s="1">
        <f t="shared" si="128"/>
        <v>0.35215947679335324</v>
      </c>
    </row>
    <row r="441" spans="1:25" x14ac:dyDescent="0.25">
      <c r="A441" t="s">
        <v>7</v>
      </c>
      <c r="B441">
        <v>7.8616323269334698</v>
      </c>
      <c r="C441">
        <v>5.8141309970162203</v>
      </c>
      <c r="D441">
        <f t="shared" si="129"/>
        <v>2.0475013299172495</v>
      </c>
      <c r="E441" s="1">
        <f t="shared" si="130"/>
        <v>0.35215947679335324</v>
      </c>
      <c r="I441" t="s">
        <v>7</v>
      </c>
      <c r="J441" s="1">
        <f t="shared" si="131"/>
        <v>0.35215947679335324</v>
      </c>
      <c r="K441" s="1">
        <f t="shared" si="132"/>
        <v>0.36592330049944588</v>
      </c>
      <c r="U441" s="1">
        <f t="shared" si="128"/>
        <v>0.35815297889386538</v>
      </c>
    </row>
    <row r="442" spans="1:25" x14ac:dyDescent="0.25">
      <c r="A442" t="s">
        <v>8</v>
      </c>
      <c r="B442">
        <v>7.93991356679284</v>
      </c>
      <c r="C442">
        <v>5.8461113660844202</v>
      </c>
      <c r="D442">
        <f t="shared" si="129"/>
        <v>2.0938022007084198</v>
      </c>
      <c r="E442" s="1">
        <f t="shared" si="130"/>
        <v>0.35815297889386538</v>
      </c>
      <c r="I442" t="s">
        <v>8</v>
      </c>
      <c r="J442" s="1">
        <f t="shared" si="131"/>
        <v>0.35815297889386538</v>
      </c>
      <c r="K442" s="1">
        <f t="shared" si="132"/>
        <v>0.36419805113242082</v>
      </c>
      <c r="U442" s="1">
        <f t="shared" si="128"/>
        <v>0.38457869323540389</v>
      </c>
    </row>
    <row r="443" spans="1:25" x14ac:dyDescent="0.25">
      <c r="A443" t="s">
        <v>9</v>
      </c>
      <c r="B443">
        <v>8.0491532835316395</v>
      </c>
      <c r="C443">
        <v>5.8134314234771596</v>
      </c>
      <c r="D443">
        <f t="shared" si="129"/>
        <v>2.2357218600544799</v>
      </c>
      <c r="E443" s="1">
        <f t="shared" si="130"/>
        <v>0.38457869323540389</v>
      </c>
      <c r="I443" t="s">
        <v>9</v>
      </c>
      <c r="J443" s="1">
        <f t="shared" si="131"/>
        <v>0.38457869323540389</v>
      </c>
      <c r="K443" s="1">
        <f t="shared" si="132"/>
        <v>0.40182359540228912</v>
      </c>
      <c r="U443" s="1">
        <f t="shared" si="128"/>
        <v>0.43651713175059126</v>
      </c>
    </row>
    <row r="444" spans="1:25" x14ac:dyDescent="0.25">
      <c r="A444" t="s">
        <v>10</v>
      </c>
      <c r="B444">
        <v>8.4312251453488294</v>
      </c>
      <c r="C444">
        <v>5.8692130842005596</v>
      </c>
      <c r="D444">
        <f t="shared" si="129"/>
        <v>2.5620120611482697</v>
      </c>
      <c r="E444" s="1">
        <f t="shared" si="130"/>
        <v>0.43651713175059126</v>
      </c>
      <c r="I444" t="s">
        <v>10</v>
      </c>
      <c r="J444" s="1">
        <f t="shared" si="131"/>
        <v>0.43651713175059126</v>
      </c>
      <c r="K444" s="1">
        <f t="shared" si="132"/>
        <v>0.50672440843493016</v>
      </c>
      <c r="U444" s="1">
        <f t="shared" si="128"/>
        <v>0.57596203971754678</v>
      </c>
    </row>
    <row r="445" spans="1:25" x14ac:dyDescent="0.25">
      <c r="A445" t="s">
        <v>11</v>
      </c>
      <c r="B445">
        <v>19.478526112350401</v>
      </c>
      <c r="C445">
        <v>12.359768586711301</v>
      </c>
      <c r="D445">
        <f t="shared" si="129"/>
        <v>7.1187575256391007</v>
      </c>
      <c r="E445" s="1">
        <f t="shared" si="130"/>
        <v>0.57596203971754678</v>
      </c>
      <c r="I445" t="s">
        <v>11</v>
      </c>
      <c r="J445" s="1">
        <f t="shared" si="131"/>
        <v>0.57596203971754678</v>
      </c>
      <c r="K445" s="1">
        <f t="shared" si="132"/>
        <v>0.53694564635168895</v>
      </c>
      <c r="U445" s="1">
        <f t="shared" ref="U445:U454" si="133">K436</f>
        <v>0.30612378502855242</v>
      </c>
    </row>
    <row r="446" spans="1:25" x14ac:dyDescent="0.25">
      <c r="U446" s="1">
        <f t="shared" si="133"/>
        <v>0.28831685645640875</v>
      </c>
    </row>
    <row r="447" spans="1:25" x14ac:dyDescent="0.25">
      <c r="U447" s="1">
        <f t="shared" si="133"/>
        <v>0.34854276822829849</v>
      </c>
    </row>
    <row r="448" spans="1:25" x14ac:dyDescent="0.25">
      <c r="A448" t="s">
        <v>1</v>
      </c>
      <c r="B448" t="s">
        <v>14</v>
      </c>
      <c r="C448" t="s">
        <v>13</v>
      </c>
      <c r="I448" t="s">
        <v>19</v>
      </c>
      <c r="J448" s="2">
        <f>AVERAGE(J436:J445)</f>
        <v>0.3742297853077251</v>
      </c>
      <c r="K448" s="2">
        <f>AVERAGE(K436:K445)</f>
        <v>0.38208335602788457</v>
      </c>
      <c r="U448" s="1">
        <f t="shared" si="133"/>
        <v>0.34664264339353373</v>
      </c>
    </row>
    <row r="449" spans="1:25" x14ac:dyDescent="0.25">
      <c r="A449" t="s">
        <v>2</v>
      </c>
      <c r="B449">
        <v>7.6083281790166701</v>
      </c>
      <c r="C449">
        <v>5.8251203034713503</v>
      </c>
      <c r="D449">
        <f t="shared" ref="D449:D458" si="134">B449-C449</f>
        <v>1.7832078755453198</v>
      </c>
      <c r="E449" s="1">
        <f t="shared" ref="E449:E458" si="135">D449/C449</f>
        <v>0.30612378502855242</v>
      </c>
      <c r="N449" t="s">
        <v>20</v>
      </c>
      <c r="O449" s="2">
        <f>MIN(U435:U454)</f>
        <v>0.28831685645640875</v>
      </c>
      <c r="U449" s="1">
        <f t="shared" si="133"/>
        <v>0.35559250535127729</v>
      </c>
    </row>
    <row r="450" spans="1:25" x14ac:dyDescent="0.25">
      <c r="A450" t="s">
        <v>3</v>
      </c>
      <c r="B450">
        <v>7.5078869190362703</v>
      </c>
      <c r="C450">
        <v>5.8276711054508397</v>
      </c>
      <c r="D450">
        <f t="shared" si="134"/>
        <v>1.6802158135854306</v>
      </c>
      <c r="E450" s="1">
        <f t="shared" si="135"/>
        <v>0.28831685645640875</v>
      </c>
      <c r="N450" t="s">
        <v>21</v>
      </c>
      <c r="O450" s="2">
        <f>MAX(U435:U454)</f>
        <v>0.57596203971754678</v>
      </c>
      <c r="U450" s="1">
        <f t="shared" si="133"/>
        <v>0.36592330049944588</v>
      </c>
    </row>
    <row r="451" spans="1:25" x14ac:dyDescent="0.25">
      <c r="A451" t="s">
        <v>4</v>
      </c>
      <c r="B451">
        <v>7.8065459251995897</v>
      </c>
      <c r="C451">
        <v>5.7888753023797301</v>
      </c>
      <c r="D451">
        <f t="shared" si="134"/>
        <v>2.0176706228198595</v>
      </c>
      <c r="E451" s="1">
        <f t="shared" si="135"/>
        <v>0.34854276822829849</v>
      </c>
      <c r="N451" t="s">
        <v>22</v>
      </c>
      <c r="O451" s="2">
        <f>AVERAGE(U435:U454)</f>
        <v>0.37815657066780489</v>
      </c>
      <c r="U451" s="1">
        <f t="shared" si="133"/>
        <v>0.36419805113242082</v>
      </c>
    </row>
    <row r="452" spans="1:25" x14ac:dyDescent="0.25">
      <c r="A452" t="s">
        <v>5</v>
      </c>
      <c r="B452">
        <v>7.82859660736798</v>
      </c>
      <c r="C452">
        <v>5.8134180183392603</v>
      </c>
      <c r="D452">
        <f t="shared" si="134"/>
        <v>2.0151785890287197</v>
      </c>
      <c r="E452" s="1">
        <f t="shared" si="135"/>
        <v>0.34664264339353373</v>
      </c>
      <c r="U452" s="1">
        <f t="shared" si="133"/>
        <v>0.40182359540228912</v>
      </c>
    </row>
    <row r="453" spans="1:25" x14ac:dyDescent="0.25">
      <c r="A453" t="s">
        <v>6</v>
      </c>
      <c r="B453">
        <v>7.8509183127889202</v>
      </c>
      <c r="C453">
        <v>5.7915031853576799</v>
      </c>
      <c r="D453">
        <f t="shared" si="134"/>
        <v>2.0594151274312402</v>
      </c>
      <c r="E453" s="1">
        <f t="shared" si="135"/>
        <v>0.35559250535127729</v>
      </c>
      <c r="U453" s="1">
        <f t="shared" si="133"/>
        <v>0.50672440843493016</v>
      </c>
    </row>
    <row r="454" spans="1:25" x14ac:dyDescent="0.25">
      <c r="A454" t="s">
        <v>7</v>
      </c>
      <c r="B454">
        <v>7.9416570009805296</v>
      </c>
      <c r="C454">
        <v>5.8141309970162203</v>
      </c>
      <c r="D454">
        <f t="shared" si="134"/>
        <v>2.1275260039643094</v>
      </c>
      <c r="E454" s="1">
        <f t="shared" si="135"/>
        <v>0.36592330049944588</v>
      </c>
      <c r="U454" s="1">
        <f t="shared" si="133"/>
        <v>0.53694564635168895</v>
      </c>
    </row>
    <row r="455" spans="1:25" x14ac:dyDescent="0.25">
      <c r="A455" t="s">
        <v>8</v>
      </c>
      <c r="B455">
        <v>7.9752537323154602</v>
      </c>
      <c r="C455">
        <v>5.8461113660844202</v>
      </c>
      <c r="D455">
        <f t="shared" si="134"/>
        <v>2.12914236623104</v>
      </c>
      <c r="E455" s="1">
        <f t="shared" si="135"/>
        <v>0.36419805113242082</v>
      </c>
    </row>
    <row r="456" spans="1:25" x14ac:dyDescent="0.25">
      <c r="A456" t="s">
        <v>9</v>
      </c>
      <c r="B456">
        <v>8.1494053396833994</v>
      </c>
      <c r="C456">
        <v>5.8134314234771596</v>
      </c>
      <c r="D456">
        <f t="shared" si="134"/>
        <v>2.3359739162062398</v>
      </c>
      <c r="E456" s="1">
        <f t="shared" si="135"/>
        <v>0.40182359540228912</v>
      </c>
    </row>
    <row r="457" spans="1:25" x14ac:dyDescent="0.25">
      <c r="A457" t="s">
        <v>10</v>
      </c>
      <c r="B457">
        <v>8.8432866122706404</v>
      </c>
      <c r="C457">
        <v>5.8692130842005596</v>
      </c>
      <c r="D457">
        <f t="shared" si="134"/>
        <v>2.9740735280700807</v>
      </c>
      <c r="E457" s="1">
        <f t="shared" si="135"/>
        <v>0.50672440843493016</v>
      </c>
    </row>
    <row r="458" spans="1:25" x14ac:dyDescent="0.25">
      <c r="A458" t="s">
        <v>11</v>
      </c>
      <c r="B458">
        <v>18.996292519260301</v>
      </c>
      <c r="C458">
        <v>12.359768586711301</v>
      </c>
      <c r="D458">
        <f t="shared" si="134"/>
        <v>6.6365239325490002</v>
      </c>
      <c r="E458" s="1">
        <f t="shared" si="135"/>
        <v>0.53694564635168895</v>
      </c>
    </row>
    <row r="460" spans="1:25" x14ac:dyDescent="0.25">
      <c r="A460" s="6" t="s">
        <v>42</v>
      </c>
      <c r="B460" s="6"/>
    </row>
    <row r="462" spans="1:25" x14ac:dyDescent="0.25">
      <c r="A462" t="s">
        <v>1</v>
      </c>
      <c r="B462" t="s">
        <v>12</v>
      </c>
      <c r="C462" t="s">
        <v>13</v>
      </c>
      <c r="E462" t="s">
        <v>15</v>
      </c>
      <c r="I462" t="s">
        <v>16</v>
      </c>
      <c r="J462" t="s">
        <v>17</v>
      </c>
      <c r="K462" t="s">
        <v>18</v>
      </c>
      <c r="U462" s="1">
        <f t="shared" ref="U462:U471" si="136">J463</f>
        <v>0.36530229407892501</v>
      </c>
      <c r="W462" s="2">
        <f>O476</f>
        <v>0.36530229407892501</v>
      </c>
      <c r="X462" s="2">
        <f>O477</f>
        <v>0.87022167582312016</v>
      </c>
      <c r="Y462" s="2">
        <f>O478</f>
        <v>0.53348793149197948</v>
      </c>
    </row>
    <row r="463" spans="1:25" x14ac:dyDescent="0.25">
      <c r="A463" t="s">
        <v>2</v>
      </c>
      <c r="B463">
        <v>35.881100000000004</v>
      </c>
      <c r="C463">
        <v>26.2807</v>
      </c>
      <c r="D463">
        <f t="shared" ref="D463:D472" si="137">B463-C463</f>
        <v>9.600400000000004</v>
      </c>
      <c r="E463" s="1">
        <f t="shared" ref="E463:E472" si="138">D463/C463</f>
        <v>0.36530229407892501</v>
      </c>
      <c r="I463" t="s">
        <v>2</v>
      </c>
      <c r="J463" s="1">
        <f t="shared" ref="J463:J472" si="139">E463</f>
        <v>0.36530229407892501</v>
      </c>
      <c r="K463" s="1">
        <f t="shared" ref="K463:K472" si="140">E476</f>
        <v>0.62951139048807681</v>
      </c>
      <c r="U463" s="1">
        <f t="shared" si="136"/>
        <v>0.3684336671029006</v>
      </c>
    </row>
    <row r="464" spans="1:25" x14ac:dyDescent="0.25">
      <c r="A464" t="s">
        <v>3</v>
      </c>
      <c r="B464">
        <v>35.970100000000002</v>
      </c>
      <c r="C464">
        <v>26.285599999999999</v>
      </c>
      <c r="D464">
        <f t="shared" si="137"/>
        <v>9.6845000000000034</v>
      </c>
      <c r="E464" s="1">
        <f t="shared" si="138"/>
        <v>0.3684336671029006</v>
      </c>
      <c r="I464" t="s">
        <v>3</v>
      </c>
      <c r="J464" s="1">
        <f t="shared" si="139"/>
        <v>0.3684336671029006</v>
      </c>
      <c r="K464" s="1">
        <f t="shared" si="140"/>
        <v>0.61568691603006964</v>
      </c>
      <c r="U464" s="1">
        <f t="shared" si="136"/>
        <v>0.43517448670454578</v>
      </c>
    </row>
    <row r="465" spans="1:21" x14ac:dyDescent="0.25">
      <c r="A465" t="s">
        <v>4</v>
      </c>
      <c r="B465">
        <v>36.145299999999999</v>
      </c>
      <c r="C465">
        <v>25.185300000000002</v>
      </c>
      <c r="D465">
        <f t="shared" si="137"/>
        <v>10.959999999999997</v>
      </c>
      <c r="E465" s="1">
        <f t="shared" si="138"/>
        <v>0.43517448670454578</v>
      </c>
      <c r="I465" t="s">
        <v>4</v>
      </c>
      <c r="J465" s="1">
        <f t="shared" si="139"/>
        <v>0.43517448670454578</v>
      </c>
      <c r="K465" s="1">
        <f t="shared" si="140"/>
        <v>0.65772891329465988</v>
      </c>
      <c r="U465" s="1">
        <f t="shared" si="136"/>
        <v>0.41974067465915382</v>
      </c>
    </row>
    <row r="466" spans="1:21" x14ac:dyDescent="0.25">
      <c r="A466" t="s">
        <v>5</v>
      </c>
      <c r="B466">
        <v>35.728200000000001</v>
      </c>
      <c r="C466">
        <v>25.165299999999998</v>
      </c>
      <c r="D466">
        <f t="shared" si="137"/>
        <v>10.562900000000003</v>
      </c>
      <c r="E466" s="1">
        <f t="shared" si="138"/>
        <v>0.41974067465915382</v>
      </c>
      <c r="I466" t="s">
        <v>5</v>
      </c>
      <c r="J466" s="1">
        <f t="shared" si="139"/>
        <v>0.41974067465915382</v>
      </c>
      <c r="K466" s="1">
        <f t="shared" si="140"/>
        <v>0.65593495805732505</v>
      </c>
      <c r="U466" s="1">
        <f t="shared" si="136"/>
        <v>0.38295899362333469</v>
      </c>
    </row>
    <row r="467" spans="1:21" x14ac:dyDescent="0.25">
      <c r="A467" t="s">
        <v>6</v>
      </c>
      <c r="B467">
        <v>35.047499999999999</v>
      </c>
      <c r="C467">
        <v>25.342400000000001</v>
      </c>
      <c r="D467">
        <f t="shared" si="137"/>
        <v>9.7050999999999981</v>
      </c>
      <c r="E467" s="1">
        <f t="shared" si="138"/>
        <v>0.38295899362333469</v>
      </c>
      <c r="I467" t="s">
        <v>6</v>
      </c>
      <c r="J467" s="1">
        <f t="shared" si="139"/>
        <v>0.38295899362333469</v>
      </c>
      <c r="K467" s="1">
        <f t="shared" si="140"/>
        <v>0.62924979481027821</v>
      </c>
      <c r="U467" s="1">
        <f t="shared" si="136"/>
        <v>0.39165178001786399</v>
      </c>
    </row>
    <row r="468" spans="1:21" x14ac:dyDescent="0.25">
      <c r="A468" t="s">
        <v>7</v>
      </c>
      <c r="B468">
        <v>34.900399999999998</v>
      </c>
      <c r="C468">
        <v>25.078399999999998</v>
      </c>
      <c r="D468">
        <f t="shared" si="137"/>
        <v>9.8219999999999992</v>
      </c>
      <c r="E468" s="1">
        <f t="shared" si="138"/>
        <v>0.39165178001786399</v>
      </c>
      <c r="I468" t="s">
        <v>7</v>
      </c>
      <c r="J468" s="1">
        <f t="shared" si="139"/>
        <v>0.39165178001786399</v>
      </c>
      <c r="K468" s="1">
        <f t="shared" si="140"/>
        <v>0.65490222661732811</v>
      </c>
      <c r="U468" s="1">
        <f t="shared" si="136"/>
        <v>0.37364420961294126</v>
      </c>
    </row>
    <row r="469" spans="1:21" x14ac:dyDescent="0.25">
      <c r="A469" t="s">
        <v>8</v>
      </c>
      <c r="B469">
        <v>35.460900000000002</v>
      </c>
      <c r="C469">
        <v>25.815200000000001</v>
      </c>
      <c r="D469">
        <f t="shared" si="137"/>
        <v>9.6457000000000015</v>
      </c>
      <c r="E469" s="1">
        <f t="shared" si="138"/>
        <v>0.37364420961294126</v>
      </c>
      <c r="I469" t="s">
        <v>8</v>
      </c>
      <c r="J469" s="1">
        <f t="shared" si="139"/>
        <v>0.37364420961294126</v>
      </c>
      <c r="K469" s="1">
        <f t="shared" si="140"/>
        <v>0.60409371223155328</v>
      </c>
      <c r="U469" s="1">
        <f t="shared" si="136"/>
        <v>0.3939003632116691</v>
      </c>
    </row>
    <row r="470" spans="1:21" x14ac:dyDescent="0.25">
      <c r="A470" t="s">
        <v>9</v>
      </c>
      <c r="B470">
        <v>33.656700000000001</v>
      </c>
      <c r="C470">
        <v>24.145700000000001</v>
      </c>
      <c r="D470">
        <f t="shared" si="137"/>
        <v>9.5109999999999992</v>
      </c>
      <c r="E470" s="1">
        <f t="shared" si="138"/>
        <v>0.3939003632116691</v>
      </c>
      <c r="I470" t="s">
        <v>9</v>
      </c>
      <c r="J470" s="1">
        <f t="shared" si="139"/>
        <v>0.3939003632116691</v>
      </c>
      <c r="K470" s="1">
        <f t="shared" si="140"/>
        <v>0.680990818240929</v>
      </c>
      <c r="U470" s="1">
        <f t="shared" si="136"/>
        <v>0.40969260781777589</v>
      </c>
    </row>
    <row r="471" spans="1:21" x14ac:dyDescent="0.25">
      <c r="A471" t="s">
        <v>10</v>
      </c>
      <c r="B471">
        <v>33.023600000000002</v>
      </c>
      <c r="C471">
        <v>23.426100000000002</v>
      </c>
      <c r="D471">
        <f t="shared" si="137"/>
        <v>9.5975000000000001</v>
      </c>
      <c r="E471" s="1">
        <f t="shared" si="138"/>
        <v>0.40969260781777589</v>
      </c>
      <c r="I471" t="s">
        <v>10</v>
      </c>
      <c r="J471" s="1">
        <f t="shared" si="139"/>
        <v>0.40969260781777589</v>
      </c>
      <c r="K471" s="1">
        <f t="shared" si="140"/>
        <v>0.87022167582312016</v>
      </c>
      <c r="U471" s="1">
        <f t="shared" si="136"/>
        <v>0.57965113566713899</v>
      </c>
    </row>
    <row r="472" spans="1:21" x14ac:dyDescent="0.25">
      <c r="A472" t="s">
        <v>11</v>
      </c>
      <c r="B472">
        <v>98.193799999999996</v>
      </c>
      <c r="C472">
        <v>62.161700000000003</v>
      </c>
      <c r="D472">
        <f t="shared" si="137"/>
        <v>36.032099999999993</v>
      </c>
      <c r="E472" s="1">
        <f t="shared" si="138"/>
        <v>0.57965113566713899</v>
      </c>
      <c r="I472" t="s">
        <v>11</v>
      </c>
      <c r="J472" s="1">
        <f t="shared" si="139"/>
        <v>0.57965113566713899</v>
      </c>
      <c r="K472" s="1">
        <f t="shared" si="140"/>
        <v>0.55128801175000031</v>
      </c>
      <c r="U472" s="1">
        <f t="shared" ref="U472:U481" si="141">K463</f>
        <v>0.62951139048807681</v>
      </c>
    </row>
    <row r="473" spans="1:21" x14ac:dyDescent="0.25">
      <c r="U473" s="1">
        <f t="shared" si="141"/>
        <v>0.61568691603006964</v>
      </c>
    </row>
    <row r="474" spans="1:21" x14ac:dyDescent="0.25">
      <c r="U474" s="1">
        <f t="shared" si="141"/>
        <v>0.65772891329465988</v>
      </c>
    </row>
    <row r="475" spans="1:21" x14ac:dyDescent="0.25">
      <c r="A475" t="s">
        <v>1</v>
      </c>
      <c r="B475" t="s">
        <v>14</v>
      </c>
      <c r="C475" t="s">
        <v>13</v>
      </c>
      <c r="I475" t="s">
        <v>19</v>
      </c>
      <c r="J475" s="2">
        <f>AVERAGE(J463:J472)</f>
        <v>0.41201502124962486</v>
      </c>
      <c r="K475" s="2">
        <f>AVERAGE(K463:K472)</f>
        <v>0.654960841734334</v>
      </c>
      <c r="U475" s="1">
        <f t="shared" si="141"/>
        <v>0.65593495805732505</v>
      </c>
    </row>
    <row r="476" spans="1:21" x14ac:dyDescent="0.25">
      <c r="A476" t="s">
        <v>2</v>
      </c>
      <c r="B476">
        <v>42.8247</v>
      </c>
      <c r="C476">
        <v>26.2807</v>
      </c>
      <c r="D476">
        <f t="shared" ref="D476:D485" si="142">B476-C476</f>
        <v>16.544</v>
      </c>
      <c r="E476" s="1">
        <f t="shared" ref="E476:E485" si="143">D476/C476</f>
        <v>0.62951139048807681</v>
      </c>
      <c r="N476" t="s">
        <v>20</v>
      </c>
      <c r="O476" s="2">
        <f>MIN(U462:U481)</f>
        <v>0.36530229407892501</v>
      </c>
      <c r="U476" s="1">
        <f t="shared" si="141"/>
        <v>0.62924979481027821</v>
      </c>
    </row>
    <row r="477" spans="1:21" x14ac:dyDescent="0.25">
      <c r="A477" t="s">
        <v>3</v>
      </c>
      <c r="B477">
        <v>42.469299999999997</v>
      </c>
      <c r="C477">
        <v>26.285599999999999</v>
      </c>
      <c r="D477">
        <f t="shared" si="142"/>
        <v>16.183699999999998</v>
      </c>
      <c r="E477" s="1">
        <f t="shared" si="143"/>
        <v>0.61568691603006964</v>
      </c>
      <c r="N477" t="s">
        <v>21</v>
      </c>
      <c r="O477" s="2">
        <f>MAX(U462:U481)</f>
        <v>0.87022167582312016</v>
      </c>
      <c r="U477" s="1">
        <f t="shared" si="141"/>
        <v>0.65490222661732811</v>
      </c>
    </row>
    <row r="478" spans="1:21" x14ac:dyDescent="0.25">
      <c r="A478" t="s">
        <v>4</v>
      </c>
      <c r="B478">
        <v>41.750399999999999</v>
      </c>
      <c r="C478">
        <v>25.185300000000002</v>
      </c>
      <c r="D478">
        <f t="shared" si="142"/>
        <v>16.565099999999997</v>
      </c>
      <c r="E478" s="1">
        <f t="shared" si="143"/>
        <v>0.65772891329465988</v>
      </c>
      <c r="N478" t="s">
        <v>22</v>
      </c>
      <c r="O478" s="2">
        <f>AVERAGE(U462:U481)</f>
        <v>0.53348793149197948</v>
      </c>
      <c r="U478" s="1">
        <f t="shared" si="141"/>
        <v>0.60409371223155328</v>
      </c>
    </row>
    <row r="479" spans="1:21" x14ac:dyDescent="0.25">
      <c r="A479" t="s">
        <v>5</v>
      </c>
      <c r="B479">
        <v>41.6721</v>
      </c>
      <c r="C479">
        <v>25.165299999999998</v>
      </c>
      <c r="D479">
        <f t="shared" si="142"/>
        <v>16.506800000000002</v>
      </c>
      <c r="E479" s="1">
        <f t="shared" si="143"/>
        <v>0.65593495805732505</v>
      </c>
      <c r="U479" s="1">
        <f t="shared" si="141"/>
        <v>0.680990818240929</v>
      </c>
    </row>
    <row r="480" spans="1:21" x14ac:dyDescent="0.25">
      <c r="A480" t="s">
        <v>6</v>
      </c>
      <c r="B480">
        <v>41.289099999999998</v>
      </c>
      <c r="C480">
        <v>25.342400000000001</v>
      </c>
      <c r="D480">
        <f t="shared" si="142"/>
        <v>15.946699999999996</v>
      </c>
      <c r="E480" s="1">
        <f t="shared" si="143"/>
        <v>0.62924979481027821</v>
      </c>
      <c r="U480" s="1">
        <f t="shared" si="141"/>
        <v>0.87022167582312016</v>
      </c>
    </row>
    <row r="481" spans="1:25" x14ac:dyDescent="0.25">
      <c r="A481" t="s">
        <v>7</v>
      </c>
      <c r="B481">
        <v>41.502299999999998</v>
      </c>
      <c r="C481">
        <v>25.078399999999998</v>
      </c>
      <c r="D481">
        <f t="shared" si="142"/>
        <v>16.4239</v>
      </c>
      <c r="E481" s="1">
        <f t="shared" si="143"/>
        <v>0.65490222661732811</v>
      </c>
      <c r="U481" s="1">
        <f t="shared" si="141"/>
        <v>0.55128801175000031</v>
      </c>
    </row>
    <row r="482" spans="1:25" x14ac:dyDescent="0.25">
      <c r="A482" t="s">
        <v>8</v>
      </c>
      <c r="B482">
        <v>41.41</v>
      </c>
      <c r="C482">
        <v>25.815200000000001</v>
      </c>
      <c r="D482">
        <f t="shared" si="142"/>
        <v>15.594799999999996</v>
      </c>
      <c r="E482" s="1">
        <f t="shared" si="143"/>
        <v>0.60409371223155328</v>
      </c>
    </row>
    <row r="483" spans="1:25" x14ac:dyDescent="0.25">
      <c r="A483" t="s">
        <v>9</v>
      </c>
      <c r="B483">
        <v>40.588700000000003</v>
      </c>
      <c r="C483">
        <v>24.145700000000001</v>
      </c>
      <c r="D483">
        <f t="shared" si="142"/>
        <v>16.443000000000001</v>
      </c>
      <c r="E483" s="1">
        <f t="shared" si="143"/>
        <v>0.680990818240929</v>
      </c>
    </row>
    <row r="484" spans="1:25" x14ac:dyDescent="0.25">
      <c r="A484" t="s">
        <v>10</v>
      </c>
      <c r="B484">
        <v>43.811999999999998</v>
      </c>
      <c r="C484">
        <v>23.426100000000002</v>
      </c>
      <c r="D484">
        <f t="shared" si="142"/>
        <v>20.385899999999996</v>
      </c>
      <c r="E484" s="1">
        <f t="shared" si="143"/>
        <v>0.87022167582312016</v>
      </c>
    </row>
    <row r="485" spans="1:25" x14ac:dyDescent="0.25">
      <c r="A485" t="s">
        <v>11</v>
      </c>
      <c r="B485">
        <v>96.430700000000002</v>
      </c>
      <c r="C485">
        <v>62.161700000000003</v>
      </c>
      <c r="D485">
        <f t="shared" si="142"/>
        <v>34.268999999999998</v>
      </c>
      <c r="E485" s="1">
        <f t="shared" si="143"/>
        <v>0.55128801175000031</v>
      </c>
    </row>
    <row r="487" spans="1:25" x14ac:dyDescent="0.25">
      <c r="A487" s="6" t="s">
        <v>43</v>
      </c>
      <c r="B487" s="6"/>
    </row>
    <row r="489" spans="1:25" x14ac:dyDescent="0.25">
      <c r="A489" t="s">
        <v>1</v>
      </c>
      <c r="B489" t="s">
        <v>12</v>
      </c>
      <c r="C489" t="s">
        <v>13</v>
      </c>
      <c r="E489" t="s">
        <v>15</v>
      </c>
      <c r="I489" t="s">
        <v>16</v>
      </c>
      <c r="J489" t="s">
        <v>17</v>
      </c>
      <c r="K489" t="s">
        <v>18</v>
      </c>
      <c r="U489" s="1">
        <f t="shared" ref="U489:U498" si="144">J490</f>
        <v>4.3086823374463498E-2</v>
      </c>
      <c r="W489" s="2">
        <f>O503</f>
        <v>4.3086823374463498E-2</v>
      </c>
      <c r="X489" s="2">
        <f>O504</f>
        <v>0.31065168481622746</v>
      </c>
      <c r="Y489" s="2">
        <f>O505</f>
        <v>0.12036070242100065</v>
      </c>
    </row>
    <row r="490" spans="1:25" x14ac:dyDescent="0.25">
      <c r="A490" t="s">
        <v>2</v>
      </c>
      <c r="B490">
        <v>7.93104880806463</v>
      </c>
      <c r="C490">
        <v>7.6034407015200296</v>
      </c>
      <c r="D490">
        <f t="shared" ref="D490:D499" si="145">B490-C490</f>
        <v>0.32760810654460037</v>
      </c>
      <c r="E490" s="1">
        <f t="shared" ref="E490:E499" si="146">D490/C490</f>
        <v>4.3086823374463498E-2</v>
      </c>
      <c r="I490" t="s">
        <v>2</v>
      </c>
      <c r="J490" s="1">
        <f t="shared" ref="J490:J499" si="147">E490</f>
        <v>4.3086823374463498E-2</v>
      </c>
      <c r="K490" s="1">
        <f t="shared" ref="K490:K499" si="148">E503</f>
        <v>6.377222619295031E-2</v>
      </c>
      <c r="U490" s="1">
        <f t="shared" si="144"/>
        <v>4.5461992445588788E-2</v>
      </c>
    </row>
    <row r="491" spans="1:25" x14ac:dyDescent="0.25">
      <c r="A491" t="s">
        <v>3</v>
      </c>
      <c r="B491">
        <v>8.0870426651010696</v>
      </c>
      <c r="C491">
        <v>7.7353770137386997</v>
      </c>
      <c r="D491">
        <f t="shared" si="145"/>
        <v>0.35166565136236994</v>
      </c>
      <c r="E491" s="1">
        <f t="shared" si="146"/>
        <v>4.5461992445588788E-2</v>
      </c>
      <c r="I491" t="s">
        <v>3</v>
      </c>
      <c r="J491" s="1">
        <f t="shared" si="147"/>
        <v>4.5461992445588788E-2</v>
      </c>
      <c r="K491" s="1">
        <f t="shared" si="148"/>
        <v>6.6008452706025761E-2</v>
      </c>
      <c r="U491" s="1">
        <f t="shared" si="144"/>
        <v>6.5435127405871152E-2</v>
      </c>
    </row>
    <row r="492" spans="1:25" x14ac:dyDescent="0.25">
      <c r="A492" t="s">
        <v>4</v>
      </c>
      <c r="B492">
        <v>8.3961759888882206</v>
      </c>
      <c r="C492">
        <v>7.8805135788335496</v>
      </c>
      <c r="D492">
        <f t="shared" si="145"/>
        <v>0.51566241005467095</v>
      </c>
      <c r="E492" s="1">
        <f t="shared" si="146"/>
        <v>6.5435127405871152E-2</v>
      </c>
      <c r="I492" t="s">
        <v>4</v>
      </c>
      <c r="J492" s="1">
        <f t="shared" si="147"/>
        <v>6.5435127405871152E-2</v>
      </c>
      <c r="K492" s="1">
        <f t="shared" si="148"/>
        <v>8.4645697420655405E-2</v>
      </c>
      <c r="U492" s="1">
        <f t="shared" si="144"/>
        <v>6.986809208450255E-2</v>
      </c>
    </row>
    <row r="493" spans="1:25" x14ac:dyDescent="0.25">
      <c r="A493" t="s">
        <v>5</v>
      </c>
      <c r="B493">
        <v>8.4100800378028602</v>
      </c>
      <c r="C493">
        <v>7.8608569598677196</v>
      </c>
      <c r="D493">
        <f t="shared" si="145"/>
        <v>0.54922307793514058</v>
      </c>
      <c r="E493" s="1">
        <f t="shared" si="146"/>
        <v>6.986809208450255E-2</v>
      </c>
      <c r="I493" t="s">
        <v>5</v>
      </c>
      <c r="J493" s="1">
        <f t="shared" si="147"/>
        <v>6.986809208450255E-2</v>
      </c>
      <c r="K493" s="1">
        <f t="shared" si="148"/>
        <v>7.9323820181936497E-2</v>
      </c>
      <c r="U493" s="1">
        <f t="shared" si="144"/>
        <v>9.2200415805743688E-2</v>
      </c>
    </row>
    <row r="494" spans="1:25" x14ac:dyDescent="0.25">
      <c r="A494" t="s">
        <v>6</v>
      </c>
      <c r="B494">
        <v>8.5656049241078893</v>
      </c>
      <c r="C494">
        <v>7.8425212077847704</v>
      </c>
      <c r="D494">
        <f t="shared" si="145"/>
        <v>0.72308371632311896</v>
      </c>
      <c r="E494" s="1">
        <f t="shared" si="146"/>
        <v>9.2200415805743688E-2</v>
      </c>
      <c r="I494" t="s">
        <v>6</v>
      </c>
      <c r="J494" s="1">
        <f t="shared" si="147"/>
        <v>9.2200415805743688E-2</v>
      </c>
      <c r="K494" s="1">
        <f t="shared" si="148"/>
        <v>0.11389838900048065</v>
      </c>
      <c r="U494" s="1">
        <f t="shared" si="144"/>
        <v>7.7858700606883269E-2</v>
      </c>
    </row>
    <row r="495" spans="1:25" x14ac:dyDescent="0.25">
      <c r="A495" t="s">
        <v>7</v>
      </c>
      <c r="B495">
        <v>8.5055056217423495</v>
      </c>
      <c r="C495">
        <v>7.8911137581886797</v>
      </c>
      <c r="D495">
        <f t="shared" si="145"/>
        <v>0.61439186355366981</v>
      </c>
      <c r="E495" s="1">
        <f t="shared" si="146"/>
        <v>7.7858700606883269E-2</v>
      </c>
      <c r="I495" t="s">
        <v>7</v>
      </c>
      <c r="J495" s="1">
        <f t="shared" si="147"/>
        <v>7.7858700606883269E-2</v>
      </c>
      <c r="K495" s="1">
        <f t="shared" si="148"/>
        <v>9.3750026246674209E-2</v>
      </c>
      <c r="U495" s="1">
        <f t="shared" si="144"/>
        <v>9.6024606353823427E-2</v>
      </c>
    </row>
    <row r="496" spans="1:25" x14ac:dyDescent="0.25">
      <c r="A496" t="s">
        <v>8</v>
      </c>
      <c r="B496">
        <v>8.7574534011111709</v>
      </c>
      <c r="C496">
        <v>7.9901978024424496</v>
      </c>
      <c r="D496">
        <f t="shared" si="145"/>
        <v>0.76725559866872128</v>
      </c>
      <c r="E496" s="1">
        <f t="shared" si="146"/>
        <v>9.6024606353823427E-2</v>
      </c>
      <c r="I496" t="s">
        <v>8</v>
      </c>
      <c r="J496" s="1">
        <f t="shared" si="147"/>
        <v>9.6024606353823427E-2</v>
      </c>
      <c r="K496" s="1">
        <f t="shared" si="148"/>
        <v>0.10265261718770423</v>
      </c>
      <c r="U496" s="1">
        <f t="shared" si="144"/>
        <v>0.10883441707525005</v>
      </c>
    </row>
    <row r="497" spans="1:21" x14ac:dyDescent="0.25">
      <c r="A497" t="s">
        <v>9</v>
      </c>
      <c r="B497">
        <v>9.19678441949711</v>
      </c>
      <c r="C497">
        <v>8.2941007943776501</v>
      </c>
      <c r="D497">
        <f t="shared" si="145"/>
        <v>0.90268362511945988</v>
      </c>
      <c r="E497" s="1">
        <f t="shared" si="146"/>
        <v>0.10883441707525005</v>
      </c>
      <c r="I497" t="s">
        <v>9</v>
      </c>
      <c r="J497" s="1">
        <f t="shared" si="147"/>
        <v>0.10883441707525005</v>
      </c>
      <c r="K497" s="1">
        <f t="shared" si="148"/>
        <v>0.13543741129446077</v>
      </c>
      <c r="U497" s="1">
        <f t="shared" si="144"/>
        <v>0.23401076693729222</v>
      </c>
    </row>
    <row r="498" spans="1:21" x14ac:dyDescent="0.25">
      <c r="A498" t="s">
        <v>10</v>
      </c>
      <c r="B498">
        <v>10.5133652265307</v>
      </c>
      <c r="C498">
        <v>8.5196705800419892</v>
      </c>
      <c r="D498">
        <f t="shared" si="145"/>
        <v>1.9936946464887111</v>
      </c>
      <c r="E498" s="1">
        <f t="shared" si="146"/>
        <v>0.23401076693729222</v>
      </c>
      <c r="I498" t="s">
        <v>10</v>
      </c>
      <c r="J498" s="1">
        <f t="shared" si="147"/>
        <v>0.23401076693729222</v>
      </c>
      <c r="K498" s="1">
        <f t="shared" si="148"/>
        <v>0.27260997489483496</v>
      </c>
      <c r="U498" s="1">
        <f t="shared" si="144"/>
        <v>0.25168280638864488</v>
      </c>
    </row>
    <row r="499" spans="1:21" x14ac:dyDescent="0.25">
      <c r="A499" t="s">
        <v>11</v>
      </c>
      <c r="B499">
        <v>26.773839636863499</v>
      </c>
      <c r="C499">
        <v>21.390275156140699</v>
      </c>
      <c r="D499">
        <f t="shared" si="145"/>
        <v>5.3835644807228</v>
      </c>
      <c r="E499" s="1">
        <f t="shared" si="146"/>
        <v>0.25168280638864488</v>
      </c>
      <c r="I499" t="s">
        <v>11</v>
      </c>
      <c r="J499" s="1">
        <f t="shared" si="147"/>
        <v>0.25168280638864488</v>
      </c>
      <c r="K499" s="1">
        <f t="shared" si="148"/>
        <v>0.31065168481622746</v>
      </c>
      <c r="U499" s="1">
        <f t="shared" ref="U499:U508" si="149">K490</f>
        <v>6.377222619295031E-2</v>
      </c>
    </row>
    <row r="500" spans="1:21" x14ac:dyDescent="0.25">
      <c r="U500" s="1">
        <f t="shared" si="149"/>
        <v>6.6008452706025761E-2</v>
      </c>
    </row>
    <row r="501" spans="1:21" x14ac:dyDescent="0.25">
      <c r="U501" s="1">
        <f t="shared" si="149"/>
        <v>8.4645697420655405E-2</v>
      </c>
    </row>
    <row r="502" spans="1:21" x14ac:dyDescent="0.25">
      <c r="A502" t="s">
        <v>1</v>
      </c>
      <c r="B502" t="s">
        <v>14</v>
      </c>
      <c r="C502" t="s">
        <v>13</v>
      </c>
      <c r="I502" t="s">
        <v>19</v>
      </c>
      <c r="J502" s="2">
        <f>AVERAGE(J490:J499)</f>
        <v>0.10844637484780635</v>
      </c>
      <c r="K502" s="2">
        <f>AVERAGE(K490:K499)</f>
        <v>0.13227502999419502</v>
      </c>
      <c r="U502" s="1">
        <f t="shared" si="149"/>
        <v>7.9323820181936497E-2</v>
      </c>
    </row>
    <row r="503" spans="1:21" x14ac:dyDescent="0.25">
      <c r="A503" t="s">
        <v>2</v>
      </c>
      <c r="B503">
        <v>8.0883290417820497</v>
      </c>
      <c r="C503">
        <v>7.6034407015200296</v>
      </c>
      <c r="D503">
        <f t="shared" ref="D503:D512" si="150">B503-C503</f>
        <v>0.4848883402620201</v>
      </c>
      <c r="E503" s="1">
        <f t="shared" ref="E503:E512" si="151">D503/C503</f>
        <v>6.377222619295031E-2</v>
      </c>
      <c r="N503" t="s">
        <v>20</v>
      </c>
      <c r="O503" s="2">
        <f>MIN(U489:U508)</f>
        <v>4.3086823374463498E-2</v>
      </c>
      <c r="U503" s="1">
        <f t="shared" si="149"/>
        <v>0.11389838900048065</v>
      </c>
    </row>
    <row r="504" spans="1:21" x14ac:dyDescent="0.25">
      <c r="A504" t="s">
        <v>3</v>
      </c>
      <c r="B504">
        <v>8.2459772815133494</v>
      </c>
      <c r="C504">
        <v>7.7353770137386997</v>
      </c>
      <c r="D504">
        <f t="shared" si="150"/>
        <v>0.51060026777464973</v>
      </c>
      <c r="E504" s="1">
        <f t="shared" si="151"/>
        <v>6.6008452706025761E-2</v>
      </c>
      <c r="N504" t="s">
        <v>21</v>
      </c>
      <c r="O504" s="2">
        <f>MAX(U489:U508)</f>
        <v>0.31065168481622746</v>
      </c>
      <c r="U504" s="1">
        <f t="shared" si="149"/>
        <v>9.3750026246674209E-2</v>
      </c>
    </row>
    <row r="505" spans="1:21" x14ac:dyDescent="0.25">
      <c r="A505" t="s">
        <v>4</v>
      </c>
      <c r="B505">
        <v>8.5475651467468605</v>
      </c>
      <c r="C505">
        <v>7.8805135788335496</v>
      </c>
      <c r="D505">
        <f t="shared" si="150"/>
        <v>0.66705156791331088</v>
      </c>
      <c r="E505" s="1">
        <f t="shared" si="151"/>
        <v>8.4645697420655405E-2</v>
      </c>
      <c r="N505" t="s">
        <v>22</v>
      </c>
      <c r="O505" s="2">
        <f>AVERAGE(U489:U508)</f>
        <v>0.12036070242100065</v>
      </c>
      <c r="U505" s="1">
        <f t="shared" si="149"/>
        <v>0.10265261718770423</v>
      </c>
    </row>
    <row r="506" spans="1:21" x14ac:dyDescent="0.25">
      <c r="A506" t="s">
        <v>5</v>
      </c>
      <c r="B506">
        <v>8.4844101638281906</v>
      </c>
      <c r="C506">
        <v>7.8608569598677196</v>
      </c>
      <c r="D506">
        <f t="shared" si="150"/>
        <v>0.62355320396047098</v>
      </c>
      <c r="E506" s="1">
        <f t="shared" si="151"/>
        <v>7.9323820181936497E-2</v>
      </c>
      <c r="U506" s="1">
        <f t="shared" si="149"/>
        <v>0.13543741129446077</v>
      </c>
    </row>
    <row r="507" spans="1:21" x14ac:dyDescent="0.25">
      <c r="A507" t="s">
        <v>6</v>
      </c>
      <c r="B507">
        <v>8.7357717390535594</v>
      </c>
      <c r="C507">
        <v>7.8425212077847704</v>
      </c>
      <c r="D507">
        <f t="shared" si="150"/>
        <v>0.89325053126878906</v>
      </c>
      <c r="E507" s="1">
        <f t="shared" si="151"/>
        <v>0.11389838900048065</v>
      </c>
      <c r="U507" s="1">
        <f t="shared" si="149"/>
        <v>0.27260997489483496</v>
      </c>
    </row>
    <row r="508" spans="1:21" x14ac:dyDescent="0.25">
      <c r="A508" t="s">
        <v>7</v>
      </c>
      <c r="B508">
        <v>8.6309058801343603</v>
      </c>
      <c r="C508">
        <v>7.8911137581886797</v>
      </c>
      <c r="D508">
        <f t="shared" si="150"/>
        <v>0.73979212194568067</v>
      </c>
      <c r="E508" s="1">
        <f t="shared" si="151"/>
        <v>9.3750026246674209E-2</v>
      </c>
      <c r="U508" s="1">
        <f t="shared" si="149"/>
        <v>0.31065168481622746</v>
      </c>
    </row>
    <row r="509" spans="1:21" x14ac:dyDescent="0.25">
      <c r="A509" t="s">
        <v>8</v>
      </c>
      <c r="B509">
        <v>8.8104125187106099</v>
      </c>
      <c r="C509">
        <v>7.9901978024424496</v>
      </c>
      <c r="D509">
        <f t="shared" si="150"/>
        <v>0.82021471626816034</v>
      </c>
      <c r="E509" s="1">
        <f t="shared" si="151"/>
        <v>0.10265261718770423</v>
      </c>
    </row>
    <row r="510" spans="1:21" x14ac:dyDescent="0.25">
      <c r="A510" t="s">
        <v>9</v>
      </c>
      <c r="B510">
        <v>9.4174323349834896</v>
      </c>
      <c r="C510">
        <v>8.2941007943776501</v>
      </c>
      <c r="D510">
        <f t="shared" si="150"/>
        <v>1.1233315406058395</v>
      </c>
      <c r="E510" s="1">
        <f t="shared" si="151"/>
        <v>0.13543741129446077</v>
      </c>
    </row>
    <row r="511" spans="1:21" x14ac:dyDescent="0.25">
      <c r="A511" t="s">
        <v>10</v>
      </c>
      <c r="B511">
        <v>10.8422177629795</v>
      </c>
      <c r="C511">
        <v>8.5196705800419892</v>
      </c>
      <c r="D511">
        <f t="shared" si="150"/>
        <v>2.3225471829375106</v>
      </c>
      <c r="E511" s="1">
        <f t="shared" si="151"/>
        <v>0.27260997489483496</v>
      </c>
    </row>
    <row r="512" spans="1:21" x14ac:dyDescent="0.25">
      <c r="A512" t="s">
        <v>11</v>
      </c>
      <c r="B512">
        <v>28.0352001720785</v>
      </c>
      <c r="C512">
        <v>21.390275156140699</v>
      </c>
      <c r="D512">
        <f t="shared" si="150"/>
        <v>6.644925015937801</v>
      </c>
      <c r="E512" s="1">
        <f t="shared" si="151"/>
        <v>0.31065168481622746</v>
      </c>
    </row>
    <row r="514" spans="1:25" x14ac:dyDescent="0.25">
      <c r="A514" s="6" t="s">
        <v>44</v>
      </c>
      <c r="B514" s="6"/>
    </row>
    <row r="516" spans="1:25" x14ac:dyDescent="0.25">
      <c r="A516" t="s">
        <v>1</v>
      </c>
      <c r="B516" t="s">
        <v>12</v>
      </c>
      <c r="C516" t="s">
        <v>13</v>
      </c>
      <c r="E516" t="s">
        <v>15</v>
      </c>
      <c r="I516" t="s">
        <v>16</v>
      </c>
      <c r="J516" t="s">
        <v>17</v>
      </c>
      <c r="K516" t="s">
        <v>18</v>
      </c>
      <c r="U516" s="1">
        <f t="shared" ref="U516:U525" si="152">J517</f>
        <v>0.14007773698985101</v>
      </c>
      <c r="W516" s="2">
        <f>O530</f>
        <v>2.3168393433799745E-2</v>
      </c>
      <c r="X516" s="2">
        <f>O531</f>
        <v>0.36441275469716589</v>
      </c>
      <c r="Y516" s="2">
        <f>O532</f>
        <v>0.15049366861972946</v>
      </c>
    </row>
    <row r="517" spans="1:25" x14ac:dyDescent="0.25">
      <c r="A517" t="s">
        <v>2</v>
      </c>
      <c r="B517">
        <v>36.957900000000002</v>
      </c>
      <c r="C517">
        <v>32.417000000000002</v>
      </c>
      <c r="D517">
        <f t="shared" ref="D517:D526" si="153">B517-C517</f>
        <v>4.5409000000000006</v>
      </c>
      <c r="E517" s="1">
        <f t="shared" ref="E517:E526" si="154">D517/C517</f>
        <v>0.14007773698985101</v>
      </c>
      <c r="I517" t="s">
        <v>2</v>
      </c>
      <c r="J517" s="1">
        <f t="shared" ref="J517:J526" si="155">E517</f>
        <v>0.14007773698985101</v>
      </c>
      <c r="K517" s="1">
        <f t="shared" ref="K517:K526" si="156">E530</f>
        <v>0.17902643674615168</v>
      </c>
      <c r="U517" s="1">
        <f t="shared" si="152"/>
        <v>0.12706306900404815</v>
      </c>
    </row>
    <row r="518" spans="1:25" x14ac:dyDescent="0.25">
      <c r="A518" t="s">
        <v>3</v>
      </c>
      <c r="B518">
        <v>36.916499999999999</v>
      </c>
      <c r="C518">
        <v>32.754600000000003</v>
      </c>
      <c r="D518">
        <f t="shared" si="153"/>
        <v>4.1618999999999957</v>
      </c>
      <c r="E518" s="1">
        <f t="shared" si="154"/>
        <v>0.12706306900404815</v>
      </c>
      <c r="I518" t="s">
        <v>3</v>
      </c>
      <c r="J518" s="1">
        <f t="shared" si="155"/>
        <v>0.12706306900404815</v>
      </c>
      <c r="K518" s="1">
        <f t="shared" si="156"/>
        <v>0.1886727360431816</v>
      </c>
      <c r="U518" s="1">
        <f t="shared" si="152"/>
        <v>0.13327319667796814</v>
      </c>
    </row>
    <row r="519" spans="1:25" x14ac:dyDescent="0.25">
      <c r="A519" t="s">
        <v>4</v>
      </c>
      <c r="B519">
        <v>36.433599999999998</v>
      </c>
      <c r="C519">
        <v>32.149000000000001</v>
      </c>
      <c r="D519">
        <f t="shared" si="153"/>
        <v>4.2845999999999975</v>
      </c>
      <c r="E519" s="1">
        <f t="shared" si="154"/>
        <v>0.13327319667796814</v>
      </c>
      <c r="I519" t="s">
        <v>4</v>
      </c>
      <c r="J519" s="1">
        <f t="shared" si="155"/>
        <v>0.13327319667796814</v>
      </c>
      <c r="K519" s="1">
        <f t="shared" si="156"/>
        <v>0.2086223521726959</v>
      </c>
      <c r="U519" s="1">
        <f t="shared" si="152"/>
        <v>0.10959884286911951</v>
      </c>
    </row>
    <row r="520" spans="1:25" x14ac:dyDescent="0.25">
      <c r="A520" t="s">
        <v>5</v>
      </c>
      <c r="B520">
        <v>36.132199999999997</v>
      </c>
      <c r="C520">
        <v>32.563299999999998</v>
      </c>
      <c r="D520">
        <f t="shared" si="153"/>
        <v>3.5688999999999993</v>
      </c>
      <c r="E520" s="1">
        <f t="shared" si="154"/>
        <v>0.10959884286911951</v>
      </c>
      <c r="I520" t="s">
        <v>5</v>
      </c>
      <c r="J520" s="1">
        <f t="shared" si="155"/>
        <v>0.10959884286911951</v>
      </c>
      <c r="K520" s="1">
        <f t="shared" si="156"/>
        <v>9.7834064729311845E-2</v>
      </c>
      <c r="U520" s="1">
        <f t="shared" si="152"/>
        <v>9.4072728965870461E-2</v>
      </c>
    </row>
    <row r="521" spans="1:25" x14ac:dyDescent="0.25">
      <c r="A521" t="s">
        <v>6</v>
      </c>
      <c r="B521">
        <v>35.246099999999998</v>
      </c>
      <c r="C521">
        <v>32.215499999999999</v>
      </c>
      <c r="D521">
        <f t="shared" si="153"/>
        <v>3.0305999999999997</v>
      </c>
      <c r="E521" s="1">
        <f t="shared" si="154"/>
        <v>9.4072728965870461E-2</v>
      </c>
      <c r="I521" t="s">
        <v>6</v>
      </c>
      <c r="J521" s="1">
        <f t="shared" si="155"/>
        <v>9.4072728965870461E-2</v>
      </c>
      <c r="K521" s="1">
        <f t="shared" si="156"/>
        <v>0.13452530614145378</v>
      </c>
      <c r="U521" s="1">
        <f t="shared" si="152"/>
        <v>0.14233840316126067</v>
      </c>
    </row>
    <row r="522" spans="1:25" x14ac:dyDescent="0.25">
      <c r="A522" t="s">
        <v>7</v>
      </c>
      <c r="B522">
        <v>36.366799999999998</v>
      </c>
      <c r="C522">
        <v>31.8354</v>
      </c>
      <c r="D522">
        <f t="shared" si="153"/>
        <v>4.5313999999999979</v>
      </c>
      <c r="E522" s="1">
        <f t="shared" si="154"/>
        <v>0.14233840316126067</v>
      </c>
      <c r="I522" t="s">
        <v>7</v>
      </c>
      <c r="J522" s="1">
        <f t="shared" si="155"/>
        <v>0.14233840316126067</v>
      </c>
      <c r="K522" s="1">
        <f t="shared" si="156"/>
        <v>0.1685859137940782</v>
      </c>
      <c r="U522" s="1">
        <f t="shared" si="152"/>
        <v>9.6580082854929944E-2</v>
      </c>
    </row>
    <row r="523" spans="1:25" x14ac:dyDescent="0.25">
      <c r="A523" t="s">
        <v>8</v>
      </c>
      <c r="B523">
        <v>35.681399999999996</v>
      </c>
      <c r="C523">
        <v>32.538800000000002</v>
      </c>
      <c r="D523">
        <f t="shared" si="153"/>
        <v>3.1425999999999945</v>
      </c>
      <c r="E523" s="1">
        <f t="shared" si="154"/>
        <v>9.6580082854929944E-2</v>
      </c>
      <c r="I523" t="s">
        <v>8</v>
      </c>
      <c r="J523" s="1">
        <f t="shared" si="155"/>
        <v>9.6580082854929944E-2</v>
      </c>
      <c r="K523" s="1">
        <f t="shared" si="156"/>
        <v>0.14430464553087377</v>
      </c>
      <c r="U523" s="1">
        <f t="shared" si="152"/>
        <v>0.10621325569361403</v>
      </c>
    </row>
    <row r="524" spans="1:25" x14ac:dyDescent="0.25">
      <c r="A524" t="s">
        <v>9</v>
      </c>
      <c r="B524">
        <v>35.487099999999998</v>
      </c>
      <c r="C524">
        <v>32.079799999999999</v>
      </c>
      <c r="D524">
        <f t="shared" si="153"/>
        <v>3.4072999999999993</v>
      </c>
      <c r="E524" s="1">
        <f t="shared" si="154"/>
        <v>0.10621325569361403</v>
      </c>
      <c r="I524" t="s">
        <v>9</v>
      </c>
      <c r="J524" s="1">
        <f t="shared" si="155"/>
        <v>0.10621325569361403</v>
      </c>
      <c r="K524" s="1">
        <f t="shared" si="156"/>
        <v>0.17746058267196185</v>
      </c>
      <c r="U524" s="1">
        <f t="shared" si="152"/>
        <v>0.31932173189647789</v>
      </c>
    </row>
    <row r="525" spans="1:25" x14ac:dyDescent="0.25">
      <c r="A525" t="s">
        <v>10</v>
      </c>
      <c r="B525">
        <v>44.722499999999997</v>
      </c>
      <c r="C525">
        <v>33.898099999999999</v>
      </c>
      <c r="D525">
        <f t="shared" si="153"/>
        <v>10.824399999999997</v>
      </c>
      <c r="E525" s="1">
        <f t="shared" si="154"/>
        <v>0.31932173189647789</v>
      </c>
      <c r="I525" t="s">
        <v>10</v>
      </c>
      <c r="J525" s="1">
        <f t="shared" si="155"/>
        <v>0.31932173189647789</v>
      </c>
      <c r="K525" s="1">
        <f t="shared" si="156"/>
        <v>0.36441275469716589</v>
      </c>
      <c r="U525" s="1">
        <f t="shared" si="152"/>
        <v>2.3168393433799745E-2</v>
      </c>
    </row>
    <row r="526" spans="1:25" x14ac:dyDescent="0.25">
      <c r="A526" t="s">
        <v>11</v>
      </c>
      <c r="B526">
        <v>121.667</v>
      </c>
      <c r="C526">
        <v>118.91200000000001</v>
      </c>
      <c r="D526">
        <f t="shared" si="153"/>
        <v>2.7549999999999955</v>
      </c>
      <c r="E526" s="1">
        <f t="shared" si="154"/>
        <v>2.3168393433799745E-2</v>
      </c>
      <c r="I526" t="s">
        <v>11</v>
      </c>
      <c r="J526" s="1">
        <f t="shared" si="155"/>
        <v>2.3168393433799745E-2</v>
      </c>
      <c r="K526" s="1">
        <f t="shared" si="156"/>
        <v>5.4721138320774944E-2</v>
      </c>
      <c r="U526" s="1">
        <f t="shared" ref="U526:U535" si="157">K517</f>
        <v>0.17902643674615168</v>
      </c>
    </row>
    <row r="527" spans="1:25" x14ac:dyDescent="0.25">
      <c r="U527" s="1">
        <f t="shared" si="157"/>
        <v>0.1886727360431816</v>
      </c>
    </row>
    <row r="528" spans="1:25" x14ac:dyDescent="0.25">
      <c r="U528" s="1">
        <f t="shared" si="157"/>
        <v>0.2086223521726959</v>
      </c>
    </row>
    <row r="529" spans="1:21" x14ac:dyDescent="0.25">
      <c r="A529" t="s">
        <v>1</v>
      </c>
      <c r="B529" t="s">
        <v>14</v>
      </c>
      <c r="C529" t="s">
        <v>13</v>
      </c>
      <c r="I529" t="s">
        <v>19</v>
      </c>
      <c r="J529" s="2">
        <f>AVERAGE(J517:J526)</f>
        <v>0.12917074415469396</v>
      </c>
      <c r="K529" s="2">
        <f>AVERAGE(K517:K526)</f>
        <v>0.17181659308476493</v>
      </c>
      <c r="U529" s="1">
        <f t="shared" si="157"/>
        <v>9.7834064729311845E-2</v>
      </c>
    </row>
    <row r="530" spans="1:21" x14ac:dyDescent="0.25">
      <c r="A530" t="s">
        <v>2</v>
      </c>
      <c r="B530">
        <v>38.220500000000001</v>
      </c>
      <c r="C530">
        <v>32.417000000000002</v>
      </c>
      <c r="D530">
        <f t="shared" ref="D530:D539" si="158">B530-C530</f>
        <v>5.8034999999999997</v>
      </c>
      <c r="E530" s="1">
        <f t="shared" ref="E530:E539" si="159">D530/C530</f>
        <v>0.17902643674615168</v>
      </c>
      <c r="N530" t="s">
        <v>20</v>
      </c>
      <c r="O530" s="2">
        <f>MIN(U516:U535)</f>
        <v>2.3168393433799745E-2</v>
      </c>
      <c r="U530" s="1">
        <f t="shared" si="157"/>
        <v>0.13452530614145378</v>
      </c>
    </row>
    <row r="531" spans="1:21" x14ac:dyDescent="0.25">
      <c r="A531" t="s">
        <v>3</v>
      </c>
      <c r="B531">
        <v>38.9345</v>
      </c>
      <c r="C531">
        <v>32.754600000000003</v>
      </c>
      <c r="D531">
        <f t="shared" si="158"/>
        <v>6.1798999999999964</v>
      </c>
      <c r="E531" s="1">
        <f t="shared" si="159"/>
        <v>0.1886727360431816</v>
      </c>
      <c r="N531" t="s">
        <v>21</v>
      </c>
      <c r="O531" s="2">
        <f>MAX(U516:U535)</f>
        <v>0.36441275469716589</v>
      </c>
      <c r="U531" s="1">
        <f t="shared" si="157"/>
        <v>0.1685859137940782</v>
      </c>
    </row>
    <row r="532" spans="1:21" x14ac:dyDescent="0.25">
      <c r="A532" t="s">
        <v>4</v>
      </c>
      <c r="B532">
        <v>38.856000000000002</v>
      </c>
      <c r="C532">
        <v>32.149000000000001</v>
      </c>
      <c r="D532">
        <f t="shared" si="158"/>
        <v>6.7070000000000007</v>
      </c>
      <c r="E532" s="1">
        <f t="shared" si="159"/>
        <v>0.2086223521726959</v>
      </c>
      <c r="N532" t="s">
        <v>22</v>
      </c>
      <c r="O532" s="2">
        <f>AVERAGE(U516:U535)</f>
        <v>0.15049366861972946</v>
      </c>
      <c r="U532" s="1">
        <f t="shared" si="157"/>
        <v>0.14430464553087377</v>
      </c>
    </row>
    <row r="533" spans="1:21" x14ac:dyDescent="0.25">
      <c r="A533" t="s">
        <v>5</v>
      </c>
      <c r="B533">
        <v>35.749099999999999</v>
      </c>
      <c r="C533">
        <v>32.563299999999998</v>
      </c>
      <c r="D533">
        <f t="shared" si="158"/>
        <v>3.1858000000000004</v>
      </c>
      <c r="E533" s="1">
        <f t="shared" si="159"/>
        <v>9.7834064729311845E-2</v>
      </c>
      <c r="U533" s="1">
        <f t="shared" si="157"/>
        <v>0.17746058267196185</v>
      </c>
    </row>
    <row r="534" spans="1:21" x14ac:dyDescent="0.25">
      <c r="A534" t="s">
        <v>6</v>
      </c>
      <c r="B534">
        <v>36.549300000000002</v>
      </c>
      <c r="C534">
        <v>32.215499999999999</v>
      </c>
      <c r="D534">
        <f t="shared" si="158"/>
        <v>4.3338000000000036</v>
      </c>
      <c r="E534" s="1">
        <f t="shared" si="159"/>
        <v>0.13452530614145378</v>
      </c>
      <c r="U534" s="1">
        <f t="shared" si="157"/>
        <v>0.36441275469716589</v>
      </c>
    </row>
    <row r="535" spans="1:21" x14ac:dyDescent="0.25">
      <c r="A535" t="s">
        <v>7</v>
      </c>
      <c r="B535">
        <v>37.202399999999997</v>
      </c>
      <c r="C535">
        <v>31.8354</v>
      </c>
      <c r="D535">
        <f t="shared" si="158"/>
        <v>5.3669999999999973</v>
      </c>
      <c r="E535" s="1">
        <f t="shared" si="159"/>
        <v>0.1685859137940782</v>
      </c>
      <c r="U535" s="1">
        <f t="shared" si="157"/>
        <v>5.4721138320774944E-2</v>
      </c>
    </row>
    <row r="536" spans="1:21" x14ac:dyDescent="0.25">
      <c r="A536" t="s">
        <v>8</v>
      </c>
      <c r="B536">
        <v>37.234299999999998</v>
      </c>
      <c r="C536">
        <v>32.538800000000002</v>
      </c>
      <c r="D536">
        <f t="shared" si="158"/>
        <v>4.6954999999999956</v>
      </c>
      <c r="E536" s="1">
        <f t="shared" si="159"/>
        <v>0.14430464553087377</v>
      </c>
    </row>
    <row r="537" spans="1:21" x14ac:dyDescent="0.25">
      <c r="A537" t="s">
        <v>9</v>
      </c>
      <c r="B537">
        <v>37.7727</v>
      </c>
      <c r="C537">
        <v>32.079799999999999</v>
      </c>
      <c r="D537">
        <f t="shared" si="158"/>
        <v>5.6929000000000016</v>
      </c>
      <c r="E537" s="1">
        <f t="shared" si="159"/>
        <v>0.17746058267196185</v>
      </c>
    </row>
    <row r="538" spans="1:21" x14ac:dyDescent="0.25">
      <c r="A538" t="s">
        <v>10</v>
      </c>
      <c r="B538">
        <v>46.250999999999998</v>
      </c>
      <c r="C538">
        <v>33.898099999999999</v>
      </c>
      <c r="D538">
        <f t="shared" si="158"/>
        <v>12.352899999999998</v>
      </c>
      <c r="E538" s="1">
        <f t="shared" si="159"/>
        <v>0.36441275469716589</v>
      </c>
    </row>
    <row r="539" spans="1:21" x14ac:dyDescent="0.25">
      <c r="A539" t="s">
        <v>11</v>
      </c>
      <c r="B539">
        <v>125.419</v>
      </c>
      <c r="C539">
        <v>118.91200000000001</v>
      </c>
      <c r="D539">
        <f t="shared" si="158"/>
        <v>6.5069999999999908</v>
      </c>
      <c r="E539" s="1">
        <f t="shared" si="159"/>
        <v>5.4721138320774944E-2</v>
      </c>
    </row>
    <row r="543" spans="1:21" x14ac:dyDescent="0.25">
      <c r="A543" s="7" t="s">
        <v>45</v>
      </c>
      <c r="B543" s="7"/>
      <c r="C543" s="7"/>
      <c r="D543" s="7"/>
      <c r="E543" s="7"/>
    </row>
    <row r="545" spans="1:25" x14ac:dyDescent="0.25">
      <c r="A545" s="6" t="s">
        <v>48</v>
      </c>
      <c r="B545" s="6"/>
    </row>
    <row r="547" spans="1:25" x14ac:dyDescent="0.25">
      <c r="A547" t="s">
        <v>1</v>
      </c>
      <c r="B547" t="s">
        <v>12</v>
      </c>
      <c r="C547" t="s">
        <v>13</v>
      </c>
      <c r="E547" t="s">
        <v>15</v>
      </c>
      <c r="I547" t="s">
        <v>16</v>
      </c>
      <c r="J547" t="s">
        <v>17</v>
      </c>
      <c r="K547" t="s">
        <v>18</v>
      </c>
      <c r="U547" s="4">
        <f t="shared" ref="U547:U556" si="160">J548</f>
        <v>2.1624717374427657E-3</v>
      </c>
      <c r="W547" s="5">
        <f>O561</f>
        <v>-1.0143766395513088E-3</v>
      </c>
      <c r="X547" s="5">
        <f>O562</f>
        <v>8.5868657324962516E-2</v>
      </c>
      <c r="Y547" s="5">
        <f>O563</f>
        <v>1.0346848428574154E-2</v>
      </c>
    </row>
    <row r="548" spans="1:25" x14ac:dyDescent="0.25">
      <c r="A548" t="s">
        <v>2</v>
      </c>
      <c r="B548">
        <v>1.0106495809806699</v>
      </c>
      <c r="C548">
        <v>1.0084687957118501</v>
      </c>
      <c r="D548">
        <f t="shared" ref="D548:D557" si="161">B548-C548</f>
        <v>2.1807852688198182E-3</v>
      </c>
      <c r="E548" s="4">
        <f t="shared" ref="E548:E557" si="162">D548/C548</f>
        <v>2.1624717374427657E-3</v>
      </c>
      <c r="I548" t="s">
        <v>2</v>
      </c>
      <c r="J548" s="4">
        <f t="shared" ref="J548:J557" si="163">E548</f>
        <v>2.1624717374427657E-3</v>
      </c>
      <c r="K548" s="4">
        <f t="shared" ref="K548:K557" si="164">E561</f>
        <v>4.4960547949819234E-3</v>
      </c>
      <c r="U548" s="4">
        <f t="shared" si="160"/>
        <v>2.7983323339580762E-3</v>
      </c>
    </row>
    <row r="549" spans="1:25" x14ac:dyDescent="0.25">
      <c r="A549" t="s">
        <v>3</v>
      </c>
      <c r="B549">
        <v>1.0158420279373801</v>
      </c>
      <c r="C549">
        <v>1.01300729686403</v>
      </c>
      <c r="D549">
        <f t="shared" si="161"/>
        <v>2.834731073350083E-3</v>
      </c>
      <c r="E549" s="4">
        <f t="shared" si="162"/>
        <v>2.7983323339580762E-3</v>
      </c>
      <c r="I549" t="s">
        <v>3</v>
      </c>
      <c r="J549" s="4">
        <f t="shared" si="163"/>
        <v>2.7983323339580762E-3</v>
      </c>
      <c r="K549" s="4">
        <f t="shared" si="164"/>
        <v>1.485144352915669E-3</v>
      </c>
      <c r="U549" s="4">
        <f t="shared" si="160"/>
        <v>3.0429316777563155E-3</v>
      </c>
    </row>
    <row r="550" spans="1:25" x14ac:dyDescent="0.25">
      <c r="A550" t="s">
        <v>4</v>
      </c>
      <c r="B550">
        <v>1.0191567726597299</v>
      </c>
      <c r="C550">
        <v>1.01606495641719</v>
      </c>
      <c r="D550">
        <f t="shared" si="161"/>
        <v>3.0918162425399576E-3</v>
      </c>
      <c r="E550" s="4">
        <f t="shared" si="162"/>
        <v>3.0429316777563155E-3</v>
      </c>
      <c r="I550" t="s">
        <v>4</v>
      </c>
      <c r="J550" s="4">
        <f t="shared" si="163"/>
        <v>3.0429316777563155E-3</v>
      </c>
      <c r="K550" s="4">
        <f t="shared" si="164"/>
        <v>2.703102585699532E-3</v>
      </c>
      <c r="U550" s="4">
        <f t="shared" si="160"/>
        <v>1.8896267296787312E-3</v>
      </c>
    </row>
    <row r="551" spans="1:25" x14ac:dyDescent="0.25">
      <c r="A551" t="s">
        <v>5</v>
      </c>
      <c r="B551">
        <v>1.0206304665676</v>
      </c>
      <c r="C551">
        <v>1.0187054934375299</v>
      </c>
      <c r="D551">
        <f t="shared" si="161"/>
        <v>1.9249731300701178E-3</v>
      </c>
      <c r="E551" s="4">
        <f t="shared" si="162"/>
        <v>1.8896267296787312E-3</v>
      </c>
      <c r="I551" t="s">
        <v>5</v>
      </c>
      <c r="J551" s="4">
        <f t="shared" si="163"/>
        <v>1.8896267296787312E-3</v>
      </c>
      <c r="K551" s="4">
        <f t="shared" si="164"/>
        <v>3.6167531490749376E-3</v>
      </c>
      <c r="U551" s="4">
        <f t="shared" si="160"/>
        <v>2.5988126569383989E-3</v>
      </c>
    </row>
    <row r="552" spans="1:25" x14ac:dyDescent="0.25">
      <c r="A552" t="s">
        <v>6</v>
      </c>
      <c r="B552">
        <v>1.0250270846953899</v>
      </c>
      <c r="C552">
        <v>1.02237013624524</v>
      </c>
      <c r="D552">
        <f t="shared" si="161"/>
        <v>2.6569484501499652E-3</v>
      </c>
      <c r="E552" s="4">
        <f t="shared" si="162"/>
        <v>2.5988126569383989E-3</v>
      </c>
      <c r="I552" t="s">
        <v>6</v>
      </c>
      <c r="J552" s="4">
        <f t="shared" si="163"/>
        <v>2.5988126569383989E-3</v>
      </c>
      <c r="K552" s="4">
        <f t="shared" si="164"/>
        <v>1.1471552600971617E-3</v>
      </c>
      <c r="U552" s="4">
        <f t="shared" si="160"/>
        <v>3.261415622618349E-3</v>
      </c>
    </row>
    <row r="553" spans="1:25" x14ac:dyDescent="0.25">
      <c r="A553" t="s">
        <v>7</v>
      </c>
      <c r="B553">
        <v>1.0257415175829601</v>
      </c>
      <c r="C553">
        <v>1.0224070233443501</v>
      </c>
      <c r="D553">
        <f t="shared" si="161"/>
        <v>3.3344942386099863E-3</v>
      </c>
      <c r="E553" s="4">
        <f t="shared" si="162"/>
        <v>3.261415622618349E-3</v>
      </c>
      <c r="I553" t="s">
        <v>7</v>
      </c>
      <c r="J553" s="4">
        <f t="shared" si="163"/>
        <v>3.261415622618349E-3</v>
      </c>
      <c r="K553" s="4">
        <f t="shared" si="164"/>
        <v>3.9710006492907355E-3</v>
      </c>
      <c r="U553" s="4">
        <f t="shared" si="160"/>
        <v>2.8001959077428406E-3</v>
      </c>
    </row>
    <row r="554" spans="1:25" x14ac:dyDescent="0.25">
      <c r="A554" t="s">
        <v>8</v>
      </c>
      <c r="B554">
        <v>1.0275378611056001</v>
      </c>
      <c r="C554">
        <v>1.0246685883177999</v>
      </c>
      <c r="D554">
        <f t="shared" si="161"/>
        <v>2.8692727878001367E-3</v>
      </c>
      <c r="E554" s="4">
        <f t="shared" si="162"/>
        <v>2.8001959077428406E-3</v>
      </c>
      <c r="I554" t="s">
        <v>8</v>
      </c>
      <c r="J554" s="4">
        <f t="shared" si="163"/>
        <v>2.8001959077428406E-3</v>
      </c>
      <c r="K554" s="4">
        <f t="shared" si="164"/>
        <v>2.2354668321497317E-3</v>
      </c>
      <c r="U554" s="4">
        <f t="shared" si="160"/>
        <v>1.4982691207233087E-3</v>
      </c>
    </row>
    <row r="555" spans="1:25" x14ac:dyDescent="0.25">
      <c r="A555" t="s">
        <v>9</v>
      </c>
      <c r="B555">
        <v>1.0392028637939501</v>
      </c>
      <c r="C555">
        <v>1.0376481875563599</v>
      </c>
      <c r="D555">
        <f t="shared" si="161"/>
        <v>1.5546762375902023E-3</v>
      </c>
      <c r="E555" s="4">
        <f t="shared" si="162"/>
        <v>1.4982691207233087E-3</v>
      </c>
      <c r="I555" t="s">
        <v>9</v>
      </c>
      <c r="J555" s="4">
        <f t="shared" si="163"/>
        <v>1.4982691207233087E-3</v>
      </c>
      <c r="K555" s="4">
        <f t="shared" si="164"/>
        <v>-1.0143766395513088E-3</v>
      </c>
      <c r="U555" s="4">
        <f t="shared" si="160"/>
        <v>3.9271972507953778E-3</v>
      </c>
    </row>
    <row r="556" spans="1:25" x14ac:dyDescent="0.25">
      <c r="A556" t="s">
        <v>10</v>
      </c>
      <c r="B556">
        <v>1.06141022486379</v>
      </c>
      <c r="C556">
        <v>1.0572581635106699</v>
      </c>
      <c r="D556">
        <f t="shared" si="161"/>
        <v>4.1520613531200734E-3</v>
      </c>
      <c r="E556" s="4">
        <f t="shared" si="162"/>
        <v>3.9271972507953778E-3</v>
      </c>
      <c r="I556" t="s">
        <v>10</v>
      </c>
      <c r="J556" s="4">
        <f t="shared" si="163"/>
        <v>3.9271972507953778E-3</v>
      </c>
      <c r="K556" s="4">
        <f t="shared" si="164"/>
        <v>3.7690619129750599E-3</v>
      </c>
      <c r="U556" s="4">
        <f t="shared" si="160"/>
        <v>7.4679695311232974E-2</v>
      </c>
    </row>
    <row r="557" spans="1:25" x14ac:dyDescent="0.25">
      <c r="A557" t="s">
        <v>11</v>
      </c>
      <c r="B557">
        <v>1.2867824279346201</v>
      </c>
      <c r="C557">
        <v>1.1973636736125</v>
      </c>
      <c r="D557">
        <f t="shared" si="161"/>
        <v>8.9418754322120098E-2</v>
      </c>
      <c r="E557" s="4">
        <f t="shared" si="162"/>
        <v>7.4679695311232974E-2</v>
      </c>
      <c r="I557" t="s">
        <v>11</v>
      </c>
      <c r="J557" s="4">
        <f t="shared" si="163"/>
        <v>7.4679695311232974E-2</v>
      </c>
      <c r="K557" s="4">
        <f t="shared" si="164"/>
        <v>8.5868657324962516E-2</v>
      </c>
      <c r="U557" s="4">
        <f t="shared" ref="U557:U566" si="165">K548</f>
        <v>4.4960547949819234E-3</v>
      </c>
    </row>
    <row r="558" spans="1:25" x14ac:dyDescent="0.25">
      <c r="U558" s="4">
        <f t="shared" si="165"/>
        <v>1.485144352915669E-3</v>
      </c>
    </row>
    <row r="559" spans="1:25" x14ac:dyDescent="0.25">
      <c r="U559" s="4">
        <f t="shared" si="165"/>
        <v>2.703102585699532E-3</v>
      </c>
    </row>
    <row r="560" spans="1:25" x14ac:dyDescent="0.25">
      <c r="A560" t="s">
        <v>1</v>
      </c>
      <c r="B560" t="s">
        <v>14</v>
      </c>
      <c r="C560" t="s">
        <v>13</v>
      </c>
      <c r="I560" t="s">
        <v>19</v>
      </c>
      <c r="J560" s="2">
        <f>AVERAGE(J548:J557)</f>
        <v>9.8658948348887138E-3</v>
      </c>
      <c r="K560" s="2">
        <f>AVERAGE(K548:K557)</f>
        <v>1.0827802022259596E-2</v>
      </c>
      <c r="U560" s="4">
        <f t="shared" si="165"/>
        <v>3.6167531490749376E-3</v>
      </c>
    </row>
    <row r="561" spans="1:25" x14ac:dyDescent="0.25">
      <c r="A561" t="s">
        <v>2</v>
      </c>
      <c r="B561">
        <v>1.0130029266764</v>
      </c>
      <c r="C561">
        <v>1.0084687957118501</v>
      </c>
      <c r="D561">
        <f t="shared" ref="D561:D570" si="166">B561-C561</f>
        <v>4.5341309645499095E-3</v>
      </c>
      <c r="E561" s="1">
        <f t="shared" ref="E561:E570" si="167">D561/C561</f>
        <v>4.4960547949819234E-3</v>
      </c>
      <c r="N561" t="s">
        <v>20</v>
      </c>
      <c r="O561" s="5">
        <f>MIN(U547:U566)</f>
        <v>-1.0143766395513088E-3</v>
      </c>
      <c r="U561" s="4">
        <f t="shared" si="165"/>
        <v>1.1471552600971617E-3</v>
      </c>
    </row>
    <row r="562" spans="1:25" x14ac:dyDescent="0.25">
      <c r="A562" t="s">
        <v>3</v>
      </c>
      <c r="B562">
        <v>1.01451175893043</v>
      </c>
      <c r="C562">
        <v>1.01300729686403</v>
      </c>
      <c r="D562">
        <f t="shared" si="166"/>
        <v>1.5044620663999808E-3</v>
      </c>
      <c r="E562" s="1">
        <f t="shared" si="167"/>
        <v>1.485144352915669E-3</v>
      </c>
      <c r="N562" t="s">
        <v>21</v>
      </c>
      <c r="O562" s="2">
        <f>MAX(U547:U566)</f>
        <v>8.5868657324962516E-2</v>
      </c>
      <c r="U562" s="4">
        <f t="shared" si="165"/>
        <v>3.9710006492907355E-3</v>
      </c>
    </row>
    <row r="563" spans="1:25" x14ac:dyDescent="0.25">
      <c r="A563" t="s">
        <v>4</v>
      </c>
      <c r="B563">
        <v>1.01881148422812</v>
      </c>
      <c r="C563">
        <v>1.01606495641719</v>
      </c>
      <c r="D563">
        <f t="shared" si="166"/>
        <v>2.7465278109299884E-3</v>
      </c>
      <c r="E563" s="1">
        <f t="shared" si="167"/>
        <v>2.703102585699532E-3</v>
      </c>
      <c r="N563" t="s">
        <v>22</v>
      </c>
      <c r="O563" s="2">
        <f>AVERAGE(U547:U566)</f>
        <v>1.0346848428574154E-2</v>
      </c>
      <c r="U563" s="4">
        <f t="shared" si="165"/>
        <v>2.2354668321497317E-3</v>
      </c>
    </row>
    <row r="564" spans="1:25" x14ac:dyDescent="0.25">
      <c r="A564" t="s">
        <v>5</v>
      </c>
      <c r="B564">
        <v>1.0223898997389</v>
      </c>
      <c r="C564">
        <v>1.0187054934375299</v>
      </c>
      <c r="D564">
        <f t="shared" si="166"/>
        <v>3.6844063013701245E-3</v>
      </c>
      <c r="E564" s="1">
        <f t="shared" si="167"/>
        <v>3.6167531490749376E-3</v>
      </c>
      <c r="U564" s="4">
        <f t="shared" si="165"/>
        <v>-1.0143766395513088E-3</v>
      </c>
    </row>
    <row r="565" spans="1:25" x14ac:dyDescent="0.25">
      <c r="A565" t="s">
        <v>6</v>
      </c>
      <c r="B565">
        <v>1.0235429535248</v>
      </c>
      <c r="C565">
        <v>1.02237013624524</v>
      </c>
      <c r="D565">
        <f t="shared" si="166"/>
        <v>1.1728172795599789E-3</v>
      </c>
      <c r="E565" s="1">
        <f t="shared" si="167"/>
        <v>1.1471552600971617E-3</v>
      </c>
      <c r="U565" s="4">
        <f t="shared" si="165"/>
        <v>3.7690619129750599E-3</v>
      </c>
    </row>
    <row r="566" spans="1:25" x14ac:dyDescent="0.25">
      <c r="A566" t="s">
        <v>7</v>
      </c>
      <c r="B566">
        <v>1.0264670022978899</v>
      </c>
      <c r="C566">
        <v>1.0224070233443501</v>
      </c>
      <c r="D566">
        <f t="shared" si="166"/>
        <v>4.0599789535398223E-3</v>
      </c>
      <c r="E566" s="1">
        <f t="shared" si="167"/>
        <v>3.9710006492907355E-3</v>
      </c>
      <c r="U566" s="4">
        <f t="shared" si="165"/>
        <v>8.5868657324962516E-2</v>
      </c>
    </row>
    <row r="567" spans="1:25" x14ac:dyDescent="0.25">
      <c r="A567" t="s">
        <v>8</v>
      </c>
      <c r="B567">
        <v>1.0269592009609301</v>
      </c>
      <c r="C567">
        <v>1.0246685883177999</v>
      </c>
      <c r="D567">
        <f t="shared" si="166"/>
        <v>2.2906126431301299E-3</v>
      </c>
      <c r="E567" s="1">
        <f t="shared" si="167"/>
        <v>2.2354668321497317E-3</v>
      </c>
    </row>
    <row r="568" spans="1:25" x14ac:dyDescent="0.25">
      <c r="A568" t="s">
        <v>9</v>
      </c>
      <c r="B568">
        <v>1.03659562147483</v>
      </c>
      <c r="C568">
        <v>1.0376481875563599</v>
      </c>
      <c r="D568">
        <f t="shared" si="166"/>
        <v>-1.0525660815299265E-3</v>
      </c>
      <c r="E568" s="1">
        <f t="shared" si="167"/>
        <v>-1.0143766395513088E-3</v>
      </c>
    </row>
    <row r="569" spans="1:25" x14ac:dyDescent="0.25">
      <c r="A569" t="s">
        <v>10</v>
      </c>
      <c r="B569">
        <v>1.0612430349869399</v>
      </c>
      <c r="C569">
        <v>1.0572581635106699</v>
      </c>
      <c r="D569">
        <f t="shared" si="166"/>
        <v>3.9848714762700244E-3</v>
      </c>
      <c r="E569" s="1">
        <f t="shared" si="167"/>
        <v>3.7690619129750599E-3</v>
      </c>
    </row>
    <row r="570" spans="1:25" x14ac:dyDescent="0.25">
      <c r="A570" t="s">
        <v>11</v>
      </c>
      <c r="B570">
        <v>1.30017968459529</v>
      </c>
      <c r="C570">
        <v>1.1973636736125</v>
      </c>
      <c r="D570">
        <f t="shared" si="166"/>
        <v>0.10281601098279003</v>
      </c>
      <c r="E570" s="1">
        <f t="shared" si="167"/>
        <v>8.5868657324962516E-2</v>
      </c>
    </row>
    <row r="572" spans="1:25" x14ac:dyDescent="0.25">
      <c r="A572" s="6" t="s">
        <v>49</v>
      </c>
      <c r="B572" s="6"/>
    </row>
    <row r="574" spans="1:25" x14ac:dyDescent="0.25">
      <c r="A574" t="s">
        <v>1</v>
      </c>
      <c r="B574" t="s">
        <v>12</v>
      </c>
      <c r="C574" t="s">
        <v>13</v>
      </c>
      <c r="E574" t="s">
        <v>15</v>
      </c>
      <c r="I574" t="s">
        <v>16</v>
      </c>
      <c r="J574" t="s">
        <v>17</v>
      </c>
      <c r="K574" t="s">
        <v>18</v>
      </c>
      <c r="U574" s="1">
        <f t="shared" ref="U574:U583" si="168">J575</f>
        <v>2.7170138179559884E-2</v>
      </c>
      <c r="W574" s="2">
        <f>O588</f>
        <v>8.281424404997708E-3</v>
      </c>
      <c r="X574" s="2">
        <f>O589</f>
        <v>0.50216781764369911</v>
      </c>
      <c r="Y574" s="2">
        <f>O590</f>
        <v>0.11884449452851897</v>
      </c>
    </row>
    <row r="575" spans="1:25" x14ac:dyDescent="0.25">
      <c r="A575" t="s">
        <v>2</v>
      </c>
      <c r="B575">
        <v>1.25702</v>
      </c>
      <c r="C575">
        <v>1.22377</v>
      </c>
      <c r="D575">
        <f t="shared" ref="D575:D584" si="169">B575-C575</f>
        <v>3.3250000000000002E-2</v>
      </c>
      <c r="E575" s="1">
        <f t="shared" ref="E575:E584" si="170">D575/C575</f>
        <v>2.7170138179559884E-2</v>
      </c>
      <c r="I575" t="s">
        <v>2</v>
      </c>
      <c r="J575" s="1">
        <f t="shared" ref="J575:J584" si="171">E575</f>
        <v>2.7170138179559884E-2</v>
      </c>
      <c r="K575" s="1">
        <f t="shared" ref="K575:K584" si="172">E588</f>
        <v>0.11223514222443766</v>
      </c>
      <c r="U575" s="1">
        <f t="shared" si="168"/>
        <v>7.6135776140623126E-2</v>
      </c>
    </row>
    <row r="576" spans="1:25" x14ac:dyDescent="0.25">
      <c r="A576" t="s">
        <v>3</v>
      </c>
      <c r="B576">
        <v>1.3321700000000001</v>
      </c>
      <c r="C576">
        <v>1.2379199999999999</v>
      </c>
      <c r="D576">
        <f t="shared" si="169"/>
        <v>9.4250000000000167E-2</v>
      </c>
      <c r="E576" s="1">
        <f t="shared" si="170"/>
        <v>7.6135776140623126E-2</v>
      </c>
      <c r="I576" t="s">
        <v>3</v>
      </c>
      <c r="J576" s="1">
        <f t="shared" si="171"/>
        <v>7.6135776140623126E-2</v>
      </c>
      <c r="K576" s="1">
        <f t="shared" si="172"/>
        <v>3.3588600232648452E-2</v>
      </c>
      <c r="U576" s="1">
        <f t="shared" si="168"/>
        <v>0.11215797828034388</v>
      </c>
    </row>
    <row r="577" spans="1:21" x14ac:dyDescent="0.25">
      <c r="A577" t="s">
        <v>4</v>
      </c>
      <c r="B577">
        <v>1.4153100000000001</v>
      </c>
      <c r="C577">
        <v>1.27258</v>
      </c>
      <c r="D577">
        <f t="shared" si="169"/>
        <v>0.14273000000000002</v>
      </c>
      <c r="E577" s="1">
        <f t="shared" si="170"/>
        <v>0.11215797828034388</v>
      </c>
      <c r="I577" t="s">
        <v>4</v>
      </c>
      <c r="J577" s="1">
        <f t="shared" si="171"/>
        <v>0.11215797828034388</v>
      </c>
      <c r="K577" s="1">
        <f t="shared" si="172"/>
        <v>6.7139197535714817E-2</v>
      </c>
      <c r="U577" s="1">
        <f t="shared" si="168"/>
        <v>6.2086998983987923E-2</v>
      </c>
    </row>
    <row r="578" spans="1:21" x14ac:dyDescent="0.25">
      <c r="A578" t="s">
        <v>5</v>
      </c>
      <c r="B578">
        <v>1.3485</v>
      </c>
      <c r="C578">
        <v>1.2696700000000001</v>
      </c>
      <c r="D578">
        <f t="shared" si="169"/>
        <v>7.8829999999999956E-2</v>
      </c>
      <c r="E578" s="1">
        <f t="shared" si="170"/>
        <v>6.2086998983987923E-2</v>
      </c>
      <c r="I578" t="s">
        <v>5</v>
      </c>
      <c r="J578" s="1">
        <f t="shared" si="171"/>
        <v>6.2086998983987923E-2</v>
      </c>
      <c r="K578" s="1">
        <f t="shared" si="172"/>
        <v>7.9729378499925119E-2</v>
      </c>
      <c r="U578" s="1">
        <f t="shared" si="168"/>
        <v>0.12459578711958648</v>
      </c>
    </row>
    <row r="579" spans="1:21" x14ac:dyDescent="0.25">
      <c r="A579" t="s">
        <v>6</v>
      </c>
      <c r="B579">
        <v>1.48847</v>
      </c>
      <c r="C579">
        <v>1.3235600000000001</v>
      </c>
      <c r="D579">
        <f t="shared" si="169"/>
        <v>0.16490999999999989</v>
      </c>
      <c r="E579" s="1">
        <f t="shared" si="170"/>
        <v>0.12459578711958648</v>
      </c>
      <c r="I579" t="s">
        <v>6</v>
      </c>
      <c r="J579" s="1">
        <f t="shared" si="171"/>
        <v>0.12459578711958648</v>
      </c>
      <c r="K579" s="1">
        <f t="shared" si="172"/>
        <v>8.8020187977877709E-2</v>
      </c>
      <c r="U579" s="1">
        <f t="shared" si="168"/>
        <v>0.1088760770400404</v>
      </c>
    </row>
    <row r="580" spans="1:21" x14ac:dyDescent="0.25">
      <c r="A580" t="s">
        <v>7</v>
      </c>
      <c r="B580">
        <v>1.4001999999999999</v>
      </c>
      <c r="C580">
        <v>1.2627200000000001</v>
      </c>
      <c r="D580">
        <f t="shared" si="169"/>
        <v>0.13747999999999982</v>
      </c>
      <c r="E580" s="1">
        <f t="shared" si="170"/>
        <v>0.1088760770400404</v>
      </c>
      <c r="I580" t="s">
        <v>7</v>
      </c>
      <c r="J580" s="1">
        <f t="shared" si="171"/>
        <v>0.1088760770400404</v>
      </c>
      <c r="K580" s="1">
        <f t="shared" si="172"/>
        <v>0.16643436391282301</v>
      </c>
      <c r="U580" s="1">
        <f t="shared" si="168"/>
        <v>0.1033596120732921</v>
      </c>
    </row>
    <row r="581" spans="1:21" x14ac:dyDescent="0.25">
      <c r="A581" t="s">
        <v>8</v>
      </c>
      <c r="B581">
        <v>1.4289499999999999</v>
      </c>
      <c r="C581">
        <v>1.2950900000000001</v>
      </c>
      <c r="D581">
        <f t="shared" si="169"/>
        <v>0.13385999999999987</v>
      </c>
      <c r="E581" s="1">
        <f t="shared" si="170"/>
        <v>0.1033596120732921</v>
      </c>
      <c r="I581" t="s">
        <v>8</v>
      </c>
      <c r="J581" s="1">
        <f t="shared" si="171"/>
        <v>0.1033596120732921</v>
      </c>
      <c r="K581" s="1">
        <f t="shared" si="172"/>
        <v>0.1017226602012215</v>
      </c>
      <c r="U581" s="1">
        <f t="shared" si="168"/>
        <v>6.3457314658121183E-2</v>
      </c>
    </row>
    <row r="582" spans="1:21" x14ac:dyDescent="0.25">
      <c r="A582" t="s">
        <v>9</v>
      </c>
      <c r="B582">
        <v>1.4767699999999999</v>
      </c>
      <c r="C582">
        <v>1.3886499999999999</v>
      </c>
      <c r="D582">
        <f t="shared" si="169"/>
        <v>8.8119999999999976E-2</v>
      </c>
      <c r="E582" s="1">
        <f t="shared" si="170"/>
        <v>6.3457314658121183E-2</v>
      </c>
      <c r="I582" t="s">
        <v>9</v>
      </c>
      <c r="J582" s="1">
        <f t="shared" si="171"/>
        <v>6.3457314658121183E-2</v>
      </c>
      <c r="K582" s="1">
        <f t="shared" si="172"/>
        <v>8.281424404997708E-3</v>
      </c>
      <c r="U582" s="1">
        <f t="shared" si="168"/>
        <v>9.6738654404116706E-2</v>
      </c>
    </row>
    <row r="583" spans="1:21" x14ac:dyDescent="0.25">
      <c r="A583" t="s">
        <v>10</v>
      </c>
      <c r="B583">
        <v>1.60273</v>
      </c>
      <c r="C583">
        <v>1.46136</v>
      </c>
      <c r="D583">
        <f t="shared" si="169"/>
        <v>0.14137</v>
      </c>
      <c r="E583" s="1">
        <f t="shared" si="170"/>
        <v>9.6738654404116706E-2</v>
      </c>
      <c r="I583" t="s">
        <v>10</v>
      </c>
      <c r="J583" s="1">
        <f t="shared" si="171"/>
        <v>9.6738654404116706E-2</v>
      </c>
      <c r="K583" s="1">
        <f t="shared" si="172"/>
        <v>4.5587671757814571E-2</v>
      </c>
      <c r="U583" s="1">
        <f t="shared" si="168"/>
        <v>0.39740510929954825</v>
      </c>
    </row>
    <row r="584" spans="1:21" x14ac:dyDescent="0.25">
      <c r="A584" t="s">
        <v>11</v>
      </c>
      <c r="B584">
        <v>4.3060200000000002</v>
      </c>
      <c r="C584">
        <v>3.0814400000000002</v>
      </c>
      <c r="D584">
        <f t="shared" si="169"/>
        <v>1.22458</v>
      </c>
      <c r="E584" s="1">
        <f t="shared" si="170"/>
        <v>0.39740510929954825</v>
      </c>
      <c r="I584" t="s">
        <v>11</v>
      </c>
      <c r="J584" s="1">
        <f t="shared" si="171"/>
        <v>0.39740510929954825</v>
      </c>
      <c r="K584" s="1">
        <f t="shared" si="172"/>
        <v>0.50216781764369911</v>
      </c>
      <c r="U584" s="1">
        <f t="shared" ref="U584:U593" si="173">K575</f>
        <v>0.11223514222443766</v>
      </c>
    </row>
    <row r="585" spans="1:21" x14ac:dyDescent="0.25">
      <c r="U585" s="1">
        <f t="shared" si="173"/>
        <v>3.3588600232648452E-2</v>
      </c>
    </row>
    <row r="586" spans="1:21" x14ac:dyDescent="0.25">
      <c r="U586" s="1">
        <f t="shared" si="173"/>
        <v>6.7139197535714817E-2</v>
      </c>
    </row>
    <row r="587" spans="1:21" x14ac:dyDescent="0.25">
      <c r="A587" t="s">
        <v>1</v>
      </c>
      <c r="B587" t="s">
        <v>14</v>
      </c>
      <c r="C587" t="s">
        <v>13</v>
      </c>
      <c r="I587" t="s">
        <v>19</v>
      </c>
      <c r="J587" s="2">
        <f>AVERAGE(J575:J584)</f>
        <v>0.117198344617922</v>
      </c>
      <c r="K587" s="2">
        <f>AVERAGE(K575:K584)</f>
        <v>0.12049064443911597</v>
      </c>
      <c r="U587" s="1">
        <f t="shared" si="173"/>
        <v>7.9729378499925119E-2</v>
      </c>
    </row>
    <row r="588" spans="1:21" x14ac:dyDescent="0.25">
      <c r="A588" t="s">
        <v>2</v>
      </c>
      <c r="B588">
        <v>1.3611200000000001</v>
      </c>
      <c r="C588">
        <v>1.22377</v>
      </c>
      <c r="D588">
        <f t="shared" ref="D588:D597" si="174">B588-C588</f>
        <v>0.13735000000000008</v>
      </c>
      <c r="E588" s="1">
        <f t="shared" ref="E588:E597" si="175">D588/C588</f>
        <v>0.11223514222443766</v>
      </c>
      <c r="N588" t="s">
        <v>20</v>
      </c>
      <c r="O588" s="2">
        <f>MIN(U574:U593)</f>
        <v>8.281424404997708E-3</v>
      </c>
      <c r="U588" s="1">
        <f t="shared" si="173"/>
        <v>8.8020187977877709E-2</v>
      </c>
    </row>
    <row r="589" spans="1:21" x14ac:dyDescent="0.25">
      <c r="A589" t="s">
        <v>3</v>
      </c>
      <c r="B589">
        <v>1.2795000000000001</v>
      </c>
      <c r="C589">
        <v>1.2379199999999999</v>
      </c>
      <c r="D589">
        <f t="shared" si="174"/>
        <v>4.1580000000000172E-2</v>
      </c>
      <c r="E589" s="1">
        <f t="shared" si="175"/>
        <v>3.3588600232648452E-2</v>
      </c>
      <c r="N589" t="s">
        <v>21</v>
      </c>
      <c r="O589" s="2">
        <f>MAX(U574:U593)</f>
        <v>0.50216781764369911</v>
      </c>
      <c r="U589" s="1">
        <f t="shared" si="173"/>
        <v>0.16643436391282301</v>
      </c>
    </row>
    <row r="590" spans="1:21" x14ac:dyDescent="0.25">
      <c r="A590" t="s">
        <v>4</v>
      </c>
      <c r="B590">
        <v>1.35802</v>
      </c>
      <c r="C590">
        <v>1.27258</v>
      </c>
      <c r="D590">
        <f t="shared" si="174"/>
        <v>8.543999999999996E-2</v>
      </c>
      <c r="E590" s="1">
        <f t="shared" si="175"/>
        <v>6.7139197535714817E-2</v>
      </c>
      <c r="N590" t="s">
        <v>22</v>
      </c>
      <c r="O590" s="2">
        <f>AVERAGE(U574:U593)</f>
        <v>0.11884449452851897</v>
      </c>
      <c r="U590" s="1">
        <f t="shared" si="173"/>
        <v>0.1017226602012215</v>
      </c>
    </row>
    <row r="591" spans="1:21" x14ac:dyDescent="0.25">
      <c r="A591" t="s">
        <v>5</v>
      </c>
      <c r="B591">
        <v>1.3709</v>
      </c>
      <c r="C591">
        <v>1.2696700000000001</v>
      </c>
      <c r="D591">
        <f t="shared" si="174"/>
        <v>0.10122999999999993</v>
      </c>
      <c r="E591" s="1">
        <f t="shared" si="175"/>
        <v>7.9729378499925119E-2</v>
      </c>
      <c r="U591" s="1">
        <f t="shared" si="173"/>
        <v>8.281424404997708E-3</v>
      </c>
    </row>
    <row r="592" spans="1:21" x14ac:dyDescent="0.25">
      <c r="A592" t="s">
        <v>6</v>
      </c>
      <c r="B592">
        <v>1.4400599999999999</v>
      </c>
      <c r="C592">
        <v>1.3235600000000001</v>
      </c>
      <c r="D592">
        <f t="shared" si="174"/>
        <v>0.11649999999999983</v>
      </c>
      <c r="E592" s="1">
        <f t="shared" si="175"/>
        <v>8.8020187977877709E-2</v>
      </c>
      <c r="U592" s="1">
        <f t="shared" si="173"/>
        <v>4.5587671757814571E-2</v>
      </c>
    </row>
    <row r="593" spans="1:25" x14ac:dyDescent="0.25">
      <c r="A593" t="s">
        <v>7</v>
      </c>
      <c r="B593">
        <v>1.47288</v>
      </c>
      <c r="C593">
        <v>1.2627200000000001</v>
      </c>
      <c r="D593">
        <f t="shared" si="174"/>
        <v>0.2101599999999999</v>
      </c>
      <c r="E593" s="1">
        <f t="shared" si="175"/>
        <v>0.16643436391282301</v>
      </c>
      <c r="U593" s="1">
        <f t="shared" si="173"/>
        <v>0.50216781764369911</v>
      </c>
    </row>
    <row r="594" spans="1:25" x14ac:dyDescent="0.25">
      <c r="A594" t="s">
        <v>8</v>
      </c>
      <c r="B594">
        <v>1.42683</v>
      </c>
      <c r="C594">
        <v>1.2950900000000001</v>
      </c>
      <c r="D594">
        <f t="shared" si="174"/>
        <v>0.13173999999999997</v>
      </c>
      <c r="E594" s="1">
        <f t="shared" si="175"/>
        <v>0.1017226602012215</v>
      </c>
    </row>
    <row r="595" spans="1:25" x14ac:dyDescent="0.25">
      <c r="A595" t="s">
        <v>9</v>
      </c>
      <c r="B595">
        <v>1.40015</v>
      </c>
      <c r="C595">
        <v>1.3886499999999999</v>
      </c>
      <c r="D595">
        <f t="shared" si="174"/>
        <v>1.1500000000000066E-2</v>
      </c>
      <c r="E595" s="1">
        <f t="shared" si="175"/>
        <v>8.281424404997708E-3</v>
      </c>
    </row>
    <row r="596" spans="1:25" x14ac:dyDescent="0.25">
      <c r="A596" t="s">
        <v>10</v>
      </c>
      <c r="B596">
        <v>1.5279799999999999</v>
      </c>
      <c r="C596">
        <v>1.46136</v>
      </c>
      <c r="D596">
        <f t="shared" si="174"/>
        <v>6.6619999999999902E-2</v>
      </c>
      <c r="E596" s="1">
        <f t="shared" si="175"/>
        <v>4.5587671757814571E-2</v>
      </c>
    </row>
    <row r="597" spans="1:25" x14ac:dyDescent="0.25">
      <c r="A597" t="s">
        <v>11</v>
      </c>
      <c r="B597">
        <v>4.6288400000000003</v>
      </c>
      <c r="C597">
        <v>3.0814400000000002</v>
      </c>
      <c r="D597">
        <f t="shared" si="174"/>
        <v>1.5474000000000001</v>
      </c>
      <c r="E597" s="1">
        <f t="shared" si="175"/>
        <v>0.50216781764369911</v>
      </c>
    </row>
    <row r="599" spans="1:25" x14ac:dyDescent="0.25">
      <c r="A599" s="6" t="s">
        <v>50</v>
      </c>
      <c r="B599" s="6"/>
    </row>
    <row r="601" spans="1:25" x14ac:dyDescent="0.25">
      <c r="A601" t="s">
        <v>1</v>
      </c>
      <c r="B601" t="s">
        <v>12</v>
      </c>
      <c r="C601" t="s">
        <v>13</v>
      </c>
      <c r="E601" t="s">
        <v>15</v>
      </c>
      <c r="I601" t="s">
        <v>16</v>
      </c>
      <c r="J601" t="s">
        <v>17</v>
      </c>
      <c r="K601" t="s">
        <v>18</v>
      </c>
      <c r="U601" s="1">
        <f t="shared" ref="U601:U610" si="176">J602</f>
        <v>1.2420259682999155E-2</v>
      </c>
      <c r="W601" s="2">
        <f>O615</f>
        <v>8.287368610998963E-3</v>
      </c>
      <c r="X601" s="2">
        <f>O616</f>
        <v>0.15749377292945743</v>
      </c>
      <c r="Y601" s="2">
        <f>O617</f>
        <v>2.4912892248684745E-2</v>
      </c>
    </row>
    <row r="602" spans="1:25" x14ac:dyDescent="0.25">
      <c r="A602" t="s">
        <v>2</v>
      </c>
      <c r="B602">
        <v>1.04819727418232</v>
      </c>
      <c r="C602">
        <v>1.03533810604553</v>
      </c>
      <c r="D602">
        <f t="shared" ref="D602:D611" si="177">B602-C602</f>
        <v>1.285916813679E-2</v>
      </c>
      <c r="E602" s="1">
        <f t="shared" ref="E602:E611" si="178">D602/C602</f>
        <v>1.2420259682999155E-2</v>
      </c>
      <c r="I602" t="s">
        <v>2</v>
      </c>
      <c r="J602" s="1">
        <f t="shared" ref="J602:J611" si="179">E602</f>
        <v>1.2420259682999155E-2</v>
      </c>
      <c r="K602" s="1">
        <f t="shared" ref="K602:K611" si="180">E615</f>
        <v>1.0095257596459278E-2</v>
      </c>
      <c r="U602" s="1">
        <f t="shared" si="176"/>
        <v>1.0849601575072408E-2</v>
      </c>
    </row>
    <row r="603" spans="1:25" x14ac:dyDescent="0.25">
      <c r="A603" t="s">
        <v>3</v>
      </c>
      <c r="B603">
        <v>1.05321473903965</v>
      </c>
      <c r="C603">
        <v>1.0419104260401999</v>
      </c>
      <c r="D603">
        <f t="shared" si="177"/>
        <v>1.1304312999450117E-2</v>
      </c>
      <c r="E603" s="1">
        <f t="shared" si="178"/>
        <v>1.0849601575072408E-2</v>
      </c>
      <c r="I603" t="s">
        <v>3</v>
      </c>
      <c r="J603" s="1">
        <f t="shared" si="179"/>
        <v>1.0849601575072408E-2</v>
      </c>
      <c r="K603" s="1">
        <f t="shared" si="180"/>
        <v>1.3373050908900746E-2</v>
      </c>
      <c r="U603" s="1">
        <f t="shared" si="176"/>
        <v>1.1370174332396586E-2</v>
      </c>
    </row>
    <row r="604" spans="1:25" x14ac:dyDescent="0.25">
      <c r="A604" t="s">
        <v>4</v>
      </c>
      <c r="B604">
        <v>1.06000744119693</v>
      </c>
      <c r="C604">
        <v>1.0480904698387401</v>
      </c>
      <c r="D604">
        <f t="shared" si="177"/>
        <v>1.1916971358189921E-2</v>
      </c>
      <c r="E604" s="1">
        <f t="shared" si="178"/>
        <v>1.1370174332396586E-2</v>
      </c>
      <c r="I604" t="s">
        <v>4</v>
      </c>
      <c r="J604" s="1">
        <f t="shared" si="179"/>
        <v>1.1370174332396586E-2</v>
      </c>
      <c r="K604" s="1">
        <f t="shared" si="180"/>
        <v>1.2549008243375648E-2</v>
      </c>
      <c r="U604" s="1">
        <f t="shared" si="176"/>
        <v>9.6177011070476166E-3</v>
      </c>
    </row>
    <row r="605" spans="1:25" x14ac:dyDescent="0.25">
      <c r="A605" t="s">
        <v>5</v>
      </c>
      <c r="B605">
        <v>1.0612796124138799</v>
      </c>
      <c r="C605">
        <v>1.0511697756984499</v>
      </c>
      <c r="D605">
        <f t="shared" si="177"/>
        <v>1.0109836715429976E-2</v>
      </c>
      <c r="E605" s="1">
        <f t="shared" si="178"/>
        <v>9.6177011070476166E-3</v>
      </c>
      <c r="I605" t="s">
        <v>5</v>
      </c>
      <c r="J605" s="1">
        <f t="shared" si="179"/>
        <v>9.6177011070476166E-3</v>
      </c>
      <c r="K605" s="1">
        <f t="shared" si="180"/>
        <v>1.1730602197391698E-2</v>
      </c>
      <c r="U605" s="1">
        <f t="shared" si="176"/>
        <v>8.4620309018169221E-3</v>
      </c>
    </row>
    <row r="606" spans="1:25" x14ac:dyDescent="0.25">
      <c r="A606" t="s">
        <v>6</v>
      </c>
      <c r="B606">
        <v>1.06430598427387</v>
      </c>
      <c r="C606">
        <v>1.0553753653195199</v>
      </c>
      <c r="D606">
        <f t="shared" si="177"/>
        <v>8.9306189543501002E-3</v>
      </c>
      <c r="E606" s="1">
        <f t="shared" si="178"/>
        <v>8.4620309018169221E-3</v>
      </c>
      <c r="I606" t="s">
        <v>6</v>
      </c>
      <c r="J606" s="1">
        <f t="shared" si="179"/>
        <v>8.4620309018169221E-3</v>
      </c>
      <c r="K606" s="1">
        <f t="shared" si="180"/>
        <v>8.3424885796198108E-3</v>
      </c>
      <c r="U606" s="1">
        <f t="shared" si="176"/>
        <v>1.1488213263422057E-2</v>
      </c>
    </row>
    <row r="607" spans="1:25" x14ac:dyDescent="0.25">
      <c r="A607" t="s">
        <v>7</v>
      </c>
      <c r="B607">
        <v>1.06959266736257</v>
      </c>
      <c r="C607">
        <v>1.05744451921163</v>
      </c>
      <c r="D607">
        <f t="shared" si="177"/>
        <v>1.2148148150940008E-2</v>
      </c>
      <c r="E607" s="1">
        <f t="shared" si="178"/>
        <v>1.1488213263422057E-2</v>
      </c>
      <c r="I607" t="s">
        <v>7</v>
      </c>
      <c r="J607" s="1">
        <f t="shared" si="179"/>
        <v>1.1488213263422057E-2</v>
      </c>
      <c r="K607" s="1">
        <f t="shared" si="180"/>
        <v>1.1455946082317021E-2</v>
      </c>
      <c r="U607" s="1">
        <f t="shared" si="176"/>
        <v>1.1864012969954343E-2</v>
      </c>
    </row>
    <row r="608" spans="1:25" x14ac:dyDescent="0.25">
      <c r="A608" t="s">
        <v>8</v>
      </c>
      <c r="B608">
        <v>1.0739479283228801</v>
      </c>
      <c r="C608">
        <v>1.06135598712588</v>
      </c>
      <c r="D608">
        <f t="shared" si="177"/>
        <v>1.2591941197000134E-2</v>
      </c>
      <c r="E608" s="1">
        <f t="shared" si="178"/>
        <v>1.1864012969954343E-2</v>
      </c>
      <c r="I608" t="s">
        <v>8</v>
      </c>
      <c r="J608" s="1">
        <f t="shared" si="179"/>
        <v>1.1864012969954343E-2</v>
      </c>
      <c r="K608" s="1">
        <f t="shared" si="180"/>
        <v>1.061217474265219E-2</v>
      </c>
      <c r="U608" s="1">
        <f t="shared" si="176"/>
        <v>1.0186762647339326E-2</v>
      </c>
    </row>
    <row r="609" spans="1:21" x14ac:dyDescent="0.25">
      <c r="A609" t="s">
        <v>9</v>
      </c>
      <c r="B609">
        <v>1.0970728677800801</v>
      </c>
      <c r="C609">
        <v>1.08600994226557</v>
      </c>
      <c r="D609">
        <f t="shared" si="177"/>
        <v>1.1062925514510047E-2</v>
      </c>
      <c r="E609" s="1">
        <f t="shared" si="178"/>
        <v>1.0186762647339326E-2</v>
      </c>
      <c r="I609" t="s">
        <v>9</v>
      </c>
      <c r="J609" s="1">
        <f t="shared" si="179"/>
        <v>1.0186762647339326E-2</v>
      </c>
      <c r="K609" s="1">
        <f t="shared" si="180"/>
        <v>1.1267497956052431E-2</v>
      </c>
      <c r="U609" s="1">
        <f t="shared" si="176"/>
        <v>8.287368610998963E-3</v>
      </c>
    </row>
    <row r="610" spans="1:21" x14ac:dyDescent="0.25">
      <c r="A610" t="s">
        <v>10</v>
      </c>
      <c r="B610">
        <v>1.1358063078421801</v>
      </c>
      <c r="C610">
        <v>1.12647082885393</v>
      </c>
      <c r="D610">
        <f t="shared" si="177"/>
        <v>9.3354789882500455E-3</v>
      </c>
      <c r="E610" s="1">
        <f t="shared" si="178"/>
        <v>8.287368610998963E-3</v>
      </c>
      <c r="I610" t="s">
        <v>10</v>
      </c>
      <c r="J610" s="1">
        <f t="shared" si="179"/>
        <v>8.287368610998963E-3</v>
      </c>
      <c r="K610" s="1">
        <f t="shared" si="180"/>
        <v>8.6025945748894397E-3</v>
      </c>
      <c r="U610" s="1">
        <f t="shared" si="176"/>
        <v>0.14818932607153187</v>
      </c>
    </row>
    <row r="611" spans="1:21" x14ac:dyDescent="0.25">
      <c r="A611" t="s">
        <v>11</v>
      </c>
      <c r="B611">
        <v>1.6248965416463601</v>
      </c>
      <c r="C611">
        <v>1.41518171676953</v>
      </c>
      <c r="D611">
        <f t="shared" si="177"/>
        <v>0.20971482487683013</v>
      </c>
      <c r="E611" s="1">
        <f t="shared" si="178"/>
        <v>0.14818932607153187</v>
      </c>
      <c r="I611" t="s">
        <v>11</v>
      </c>
      <c r="J611" s="1">
        <f t="shared" si="179"/>
        <v>0.14818932607153187</v>
      </c>
      <c r="K611" s="1">
        <f t="shared" si="180"/>
        <v>0.15749377292945743</v>
      </c>
      <c r="U611" s="1">
        <f t="shared" ref="U611:U620" si="181">K602</f>
        <v>1.0095257596459278E-2</v>
      </c>
    </row>
    <row r="612" spans="1:21" x14ac:dyDescent="0.25">
      <c r="U612" s="1">
        <f t="shared" si="181"/>
        <v>1.3373050908900746E-2</v>
      </c>
    </row>
    <row r="613" spans="1:21" x14ac:dyDescent="0.25">
      <c r="U613" s="1">
        <f t="shared" si="181"/>
        <v>1.2549008243375648E-2</v>
      </c>
    </row>
    <row r="614" spans="1:21" x14ac:dyDescent="0.25">
      <c r="A614" t="s">
        <v>1</v>
      </c>
      <c r="B614" t="s">
        <v>14</v>
      </c>
      <c r="C614" t="s">
        <v>13</v>
      </c>
      <c r="I614" t="s">
        <v>19</v>
      </c>
      <c r="J614" s="2">
        <f>AVERAGE(J602:J611)</f>
        <v>2.4273545116257924E-2</v>
      </c>
      <c r="K614" s="2">
        <f>AVERAGE(K602:K611)</f>
        <v>2.555223938111157E-2</v>
      </c>
      <c r="U614" s="1">
        <f t="shared" si="181"/>
        <v>1.1730602197391698E-2</v>
      </c>
    </row>
    <row r="615" spans="1:21" x14ac:dyDescent="0.25">
      <c r="A615" t="s">
        <v>2</v>
      </c>
      <c r="B615">
        <v>1.0457901109254899</v>
      </c>
      <c r="C615">
        <v>1.03533810604553</v>
      </c>
      <c r="D615">
        <f t="shared" ref="D615:D624" si="182">B615-C615</f>
        <v>1.0452004879959897E-2</v>
      </c>
      <c r="E615" s="1">
        <f t="shared" ref="E615:E624" si="183">D615/C615</f>
        <v>1.0095257596459278E-2</v>
      </c>
      <c r="N615" t="s">
        <v>20</v>
      </c>
      <c r="O615" s="2">
        <f>MIN(U601:U620)</f>
        <v>8.287368610998963E-3</v>
      </c>
      <c r="U615" s="1">
        <f t="shared" si="181"/>
        <v>8.3424885796198108E-3</v>
      </c>
    </row>
    <row r="616" spans="1:21" x14ac:dyDescent="0.25">
      <c r="A616" t="s">
        <v>3</v>
      </c>
      <c r="B616">
        <v>1.05584394721015</v>
      </c>
      <c r="C616">
        <v>1.0419104260401999</v>
      </c>
      <c r="D616">
        <f t="shared" si="182"/>
        <v>1.3933521169950058E-2</v>
      </c>
      <c r="E616" s="1">
        <f t="shared" si="183"/>
        <v>1.3373050908900746E-2</v>
      </c>
      <c r="N616" t="s">
        <v>21</v>
      </c>
      <c r="O616" s="2">
        <f>MAX(U601:U620)</f>
        <v>0.15749377292945743</v>
      </c>
      <c r="U616" s="1">
        <f t="shared" si="181"/>
        <v>1.1455946082317021E-2</v>
      </c>
    </row>
    <row r="617" spans="1:21" x14ac:dyDescent="0.25">
      <c r="A617" t="s">
        <v>4</v>
      </c>
      <c r="B617">
        <v>1.0612429657845499</v>
      </c>
      <c r="C617">
        <v>1.0480904698387401</v>
      </c>
      <c r="D617">
        <f t="shared" si="182"/>
        <v>1.3152495945809806E-2</v>
      </c>
      <c r="E617" s="1">
        <f t="shared" si="183"/>
        <v>1.2549008243375648E-2</v>
      </c>
      <c r="N617" t="s">
        <v>22</v>
      </c>
      <c r="O617" s="2">
        <f>AVERAGE(U601:U620)</f>
        <v>2.4912892248684745E-2</v>
      </c>
      <c r="U617" s="1">
        <f t="shared" si="181"/>
        <v>1.061217474265219E-2</v>
      </c>
    </row>
    <row r="618" spans="1:21" x14ac:dyDescent="0.25">
      <c r="A618" t="s">
        <v>5</v>
      </c>
      <c r="B618">
        <v>1.0635006301790899</v>
      </c>
      <c r="C618">
        <v>1.0511697756984499</v>
      </c>
      <c r="D618">
        <f t="shared" si="182"/>
        <v>1.2330854480639974E-2</v>
      </c>
      <c r="E618" s="1">
        <f t="shared" si="183"/>
        <v>1.1730602197391698E-2</v>
      </c>
      <c r="U618" s="1">
        <f t="shared" si="181"/>
        <v>1.1267497956052431E-2</v>
      </c>
    </row>
    <row r="619" spans="1:21" x14ac:dyDescent="0.25">
      <c r="A619" t="s">
        <v>6</v>
      </c>
      <c r="B619">
        <v>1.0641798222519101</v>
      </c>
      <c r="C619">
        <v>1.0553753653195199</v>
      </c>
      <c r="D619">
        <f t="shared" si="182"/>
        <v>8.8044569323901811E-3</v>
      </c>
      <c r="E619" s="1">
        <f t="shared" si="183"/>
        <v>8.3424885796198108E-3</v>
      </c>
      <c r="U619" s="1">
        <f t="shared" si="181"/>
        <v>8.6025945748894397E-3</v>
      </c>
    </row>
    <row r="620" spans="1:21" x14ac:dyDescent="0.25">
      <c r="A620" t="s">
        <v>7</v>
      </c>
      <c r="B620">
        <v>1.06955854660876</v>
      </c>
      <c r="C620">
        <v>1.05744451921163</v>
      </c>
      <c r="D620">
        <f t="shared" si="182"/>
        <v>1.2114027397130078E-2</v>
      </c>
      <c r="E620" s="1">
        <f t="shared" si="183"/>
        <v>1.1455946082317021E-2</v>
      </c>
      <c r="U620" s="1">
        <f t="shared" si="181"/>
        <v>0.15749377292945743</v>
      </c>
    </row>
    <row r="621" spans="1:21" x14ac:dyDescent="0.25">
      <c r="A621" t="s">
        <v>8</v>
      </c>
      <c r="B621">
        <v>1.0726192823254199</v>
      </c>
      <c r="C621">
        <v>1.06135598712588</v>
      </c>
      <c r="D621">
        <f t="shared" si="182"/>
        <v>1.1263295199539947E-2</v>
      </c>
      <c r="E621" s="1">
        <f t="shared" si="183"/>
        <v>1.061217474265219E-2</v>
      </c>
    </row>
    <row r="622" spans="1:21" x14ac:dyDescent="0.25">
      <c r="A622" t="s">
        <v>9</v>
      </c>
      <c r="B622">
        <v>1.0982465570702999</v>
      </c>
      <c r="C622">
        <v>1.08600994226557</v>
      </c>
      <c r="D622">
        <f t="shared" si="182"/>
        <v>1.2236614804729928E-2</v>
      </c>
      <c r="E622" s="1">
        <f t="shared" si="183"/>
        <v>1.1267497956052431E-2</v>
      </c>
    </row>
    <row r="623" spans="1:21" x14ac:dyDescent="0.25">
      <c r="A623" t="s">
        <v>10</v>
      </c>
      <c r="B623">
        <v>1.136161400695</v>
      </c>
      <c r="C623">
        <v>1.12647082885393</v>
      </c>
      <c r="D623">
        <f t="shared" si="182"/>
        <v>9.6905718410700281E-3</v>
      </c>
      <c r="E623" s="1">
        <f t="shared" si="183"/>
        <v>8.6025945748894397E-3</v>
      </c>
    </row>
    <row r="624" spans="1:21" x14ac:dyDescent="0.25">
      <c r="A624" t="s">
        <v>11</v>
      </c>
      <c r="B624">
        <v>1.6380640247243501</v>
      </c>
      <c r="C624">
        <v>1.41518171676953</v>
      </c>
      <c r="D624">
        <f t="shared" si="182"/>
        <v>0.22288230795482011</v>
      </c>
      <c r="E624" s="1">
        <f t="shared" si="183"/>
        <v>0.15749377292945743</v>
      </c>
    </row>
    <row r="626" spans="1:25" x14ac:dyDescent="0.25">
      <c r="A626" s="6" t="s">
        <v>51</v>
      </c>
      <c r="B626" s="6"/>
    </row>
    <row r="628" spans="1:25" x14ac:dyDescent="0.25">
      <c r="A628" t="s">
        <v>1</v>
      </c>
      <c r="B628" t="s">
        <v>12</v>
      </c>
      <c r="C628" t="s">
        <v>13</v>
      </c>
      <c r="E628" t="s">
        <v>15</v>
      </c>
      <c r="I628" t="s">
        <v>16</v>
      </c>
      <c r="J628" t="s">
        <v>17</v>
      </c>
      <c r="K628" t="s">
        <v>18</v>
      </c>
      <c r="U628" s="1">
        <f t="shared" ref="U628:U637" si="184">J629</f>
        <v>0.15887187663212293</v>
      </c>
      <c r="W628" s="2">
        <f>O642</f>
        <v>0.10896817223549211</v>
      </c>
      <c r="X628" s="2">
        <f>O643</f>
        <v>0.59170704642130567</v>
      </c>
      <c r="Y628" s="2">
        <f>O644</f>
        <v>0.18360203276808185</v>
      </c>
    </row>
    <row r="629" spans="1:25" x14ac:dyDescent="0.25">
      <c r="A629" t="s">
        <v>2</v>
      </c>
      <c r="B629">
        <v>2.1079300000000001</v>
      </c>
      <c r="C629">
        <v>1.8189500000000001</v>
      </c>
      <c r="D629">
        <f t="shared" ref="D629:D638" si="185">B629-C629</f>
        <v>0.28898000000000001</v>
      </c>
      <c r="E629" s="1">
        <f t="shared" ref="E629:E638" si="186">D629/C629</f>
        <v>0.15887187663212293</v>
      </c>
      <c r="I629" t="s">
        <v>2</v>
      </c>
      <c r="J629" s="1">
        <f t="shared" ref="J629:J638" si="187">E629</f>
        <v>0.15887187663212293</v>
      </c>
      <c r="K629" s="1">
        <f t="shared" ref="K629:K638" si="188">E642</f>
        <v>0.14230187745677436</v>
      </c>
      <c r="U629" s="1">
        <f t="shared" si="184"/>
        <v>0.11858693417307831</v>
      </c>
    </row>
    <row r="630" spans="1:25" x14ac:dyDescent="0.25">
      <c r="A630" t="s">
        <v>3</v>
      </c>
      <c r="B630">
        <v>2.0673499999999998</v>
      </c>
      <c r="C630">
        <v>1.8481799999999999</v>
      </c>
      <c r="D630">
        <f t="shared" si="185"/>
        <v>0.21916999999999986</v>
      </c>
      <c r="E630" s="1">
        <f t="shared" si="186"/>
        <v>0.11858693417307831</v>
      </c>
      <c r="I630" t="s">
        <v>3</v>
      </c>
      <c r="J630" s="1">
        <f t="shared" si="187"/>
        <v>0.11858693417307831</v>
      </c>
      <c r="K630" s="1">
        <f t="shared" si="188"/>
        <v>0.14328690928372781</v>
      </c>
      <c r="U630" s="1">
        <f t="shared" si="184"/>
        <v>0.15678963022151193</v>
      </c>
    </row>
    <row r="631" spans="1:25" x14ac:dyDescent="0.25">
      <c r="A631" t="s">
        <v>4</v>
      </c>
      <c r="B631">
        <v>2.0847199999999999</v>
      </c>
      <c r="C631">
        <v>1.80216</v>
      </c>
      <c r="D631">
        <f t="shared" si="185"/>
        <v>0.28255999999999992</v>
      </c>
      <c r="E631" s="1">
        <f t="shared" si="186"/>
        <v>0.15678963022151193</v>
      </c>
      <c r="I631" t="s">
        <v>4</v>
      </c>
      <c r="J631" s="1">
        <f t="shared" si="187"/>
        <v>0.15678963022151193</v>
      </c>
      <c r="K631" s="1">
        <f t="shared" si="188"/>
        <v>0.17375815687841256</v>
      </c>
      <c r="U631" s="1">
        <f t="shared" si="184"/>
        <v>0.12432291610129938</v>
      </c>
    </row>
    <row r="632" spans="1:25" x14ac:dyDescent="0.25">
      <c r="A632" t="s">
        <v>5</v>
      </c>
      <c r="B632">
        <v>2.07152</v>
      </c>
      <c r="C632">
        <v>1.84246</v>
      </c>
      <c r="D632">
        <f t="shared" si="185"/>
        <v>0.22906000000000004</v>
      </c>
      <c r="E632" s="1">
        <f t="shared" si="186"/>
        <v>0.12432291610129938</v>
      </c>
      <c r="I632" t="s">
        <v>5</v>
      </c>
      <c r="J632" s="1">
        <f t="shared" si="187"/>
        <v>0.12432291610129938</v>
      </c>
      <c r="K632" s="1">
        <f t="shared" si="188"/>
        <v>0.1348251793797422</v>
      </c>
      <c r="U632" s="1">
        <f t="shared" si="184"/>
        <v>0.10896817223549211</v>
      </c>
    </row>
    <row r="633" spans="1:25" x14ac:dyDescent="0.25">
      <c r="A633" t="s">
        <v>6</v>
      </c>
      <c r="B633">
        <v>2.0567700000000002</v>
      </c>
      <c r="C633">
        <v>1.85467</v>
      </c>
      <c r="D633">
        <f t="shared" si="185"/>
        <v>0.20210000000000017</v>
      </c>
      <c r="E633" s="1">
        <f t="shared" si="186"/>
        <v>0.10896817223549211</v>
      </c>
      <c r="I633" t="s">
        <v>6</v>
      </c>
      <c r="J633" s="1">
        <f t="shared" si="187"/>
        <v>0.10896817223549211</v>
      </c>
      <c r="K633" s="1">
        <f t="shared" si="188"/>
        <v>0.12310006631907564</v>
      </c>
      <c r="U633" s="1">
        <f t="shared" si="184"/>
        <v>0.15005955183779729</v>
      </c>
    </row>
    <row r="634" spans="1:25" x14ac:dyDescent="0.25">
      <c r="A634" t="s">
        <v>7</v>
      </c>
      <c r="B634">
        <v>2.0760299999999998</v>
      </c>
      <c r="C634">
        <v>1.80515</v>
      </c>
      <c r="D634">
        <f t="shared" si="185"/>
        <v>0.27087999999999979</v>
      </c>
      <c r="E634" s="1">
        <f t="shared" si="186"/>
        <v>0.15005955183779729</v>
      </c>
      <c r="I634" t="s">
        <v>7</v>
      </c>
      <c r="J634" s="1">
        <f t="shared" si="187"/>
        <v>0.15005955183779729</v>
      </c>
      <c r="K634" s="1">
        <f t="shared" si="188"/>
        <v>0.15708943855081289</v>
      </c>
      <c r="U634" s="1">
        <f t="shared" si="184"/>
        <v>0.15529724233348721</v>
      </c>
    </row>
    <row r="635" spans="1:25" x14ac:dyDescent="0.25">
      <c r="A635" t="s">
        <v>8</v>
      </c>
      <c r="B635">
        <v>2.0792000000000002</v>
      </c>
      <c r="C635">
        <v>1.7997099999999999</v>
      </c>
      <c r="D635">
        <f t="shared" si="185"/>
        <v>0.27949000000000024</v>
      </c>
      <c r="E635" s="1">
        <f t="shared" si="186"/>
        <v>0.15529724233348721</v>
      </c>
      <c r="I635" t="s">
        <v>8</v>
      </c>
      <c r="J635" s="1">
        <f t="shared" si="187"/>
        <v>0.15529724233348721</v>
      </c>
      <c r="K635" s="1">
        <f t="shared" si="188"/>
        <v>0.15389146029082471</v>
      </c>
      <c r="U635" s="1">
        <f t="shared" si="184"/>
        <v>0.12258992652991881</v>
      </c>
    </row>
    <row r="636" spans="1:25" x14ac:dyDescent="0.25">
      <c r="A636" t="s">
        <v>9</v>
      </c>
      <c r="B636">
        <v>2.11469</v>
      </c>
      <c r="C636">
        <v>1.8837600000000001</v>
      </c>
      <c r="D636">
        <f t="shared" si="185"/>
        <v>0.23092999999999986</v>
      </c>
      <c r="E636" s="1">
        <f t="shared" si="186"/>
        <v>0.12258992652991881</v>
      </c>
      <c r="I636" t="s">
        <v>9</v>
      </c>
      <c r="J636" s="1">
        <f t="shared" si="187"/>
        <v>0.12258992652991881</v>
      </c>
      <c r="K636" s="1">
        <f t="shared" si="188"/>
        <v>0.13299995753174501</v>
      </c>
      <c r="U636" s="1">
        <f t="shared" si="184"/>
        <v>0.11777846694034584</v>
      </c>
    </row>
    <row r="637" spans="1:25" x14ac:dyDescent="0.25">
      <c r="A637" t="s">
        <v>10</v>
      </c>
      <c r="B637">
        <v>2.1265399999999999</v>
      </c>
      <c r="C637">
        <v>1.9024700000000001</v>
      </c>
      <c r="D637">
        <f t="shared" si="185"/>
        <v>0.22406999999999977</v>
      </c>
      <c r="E637" s="1">
        <f t="shared" si="186"/>
        <v>0.11777846694034584</v>
      </c>
      <c r="I637" t="s">
        <v>10</v>
      </c>
      <c r="J637" s="1">
        <f t="shared" si="187"/>
        <v>0.11777846694034584</v>
      </c>
      <c r="K637" s="1">
        <f t="shared" si="188"/>
        <v>0.12456438209275308</v>
      </c>
      <c r="U637" s="1">
        <f t="shared" si="184"/>
        <v>0.58125146415140871</v>
      </c>
    </row>
    <row r="638" spans="1:25" x14ac:dyDescent="0.25">
      <c r="A638" t="s">
        <v>11</v>
      </c>
      <c r="B638">
        <v>6.4123700000000001</v>
      </c>
      <c r="C638">
        <v>4.05525</v>
      </c>
      <c r="D638">
        <f t="shared" si="185"/>
        <v>2.3571200000000001</v>
      </c>
      <c r="E638" s="1">
        <f t="shared" si="186"/>
        <v>0.58125146415140871</v>
      </c>
      <c r="I638" t="s">
        <v>11</v>
      </c>
      <c r="J638" s="1">
        <f t="shared" si="187"/>
        <v>0.58125146415140871</v>
      </c>
      <c r="K638" s="1">
        <f t="shared" si="188"/>
        <v>0.59170704642130567</v>
      </c>
      <c r="U638" s="1">
        <f t="shared" ref="U638:U647" si="189">K629</f>
        <v>0.14230187745677436</v>
      </c>
    </row>
    <row r="639" spans="1:25" x14ac:dyDescent="0.25">
      <c r="U639" s="1">
        <f t="shared" si="189"/>
        <v>0.14328690928372781</v>
      </c>
    </row>
    <row r="640" spans="1:25" x14ac:dyDescent="0.25">
      <c r="U640" s="1">
        <f t="shared" si="189"/>
        <v>0.17375815687841256</v>
      </c>
    </row>
    <row r="641" spans="1:25" x14ac:dyDescent="0.25">
      <c r="A641" t="s">
        <v>1</v>
      </c>
      <c r="B641" t="s">
        <v>14</v>
      </c>
      <c r="C641" t="s">
        <v>13</v>
      </c>
      <c r="I641" t="s">
        <v>19</v>
      </c>
      <c r="J641" s="2">
        <f>AVERAGE(J629:J638)</f>
        <v>0.17945161811564625</v>
      </c>
      <c r="K641" s="2">
        <f>AVERAGE(K629:K638)</f>
        <v>0.18775244742051742</v>
      </c>
      <c r="U641" s="1">
        <f t="shared" si="189"/>
        <v>0.1348251793797422</v>
      </c>
    </row>
    <row r="642" spans="1:25" x14ac:dyDescent="0.25">
      <c r="A642" t="s">
        <v>2</v>
      </c>
      <c r="B642">
        <v>2.0777899999999998</v>
      </c>
      <c r="C642">
        <v>1.8189500000000001</v>
      </c>
      <c r="D642">
        <f t="shared" ref="D642:D651" si="190">B642-C642</f>
        <v>0.25883999999999974</v>
      </c>
      <c r="E642" s="1">
        <f t="shared" ref="E642:E651" si="191">D642/C642</f>
        <v>0.14230187745677436</v>
      </c>
      <c r="N642" t="s">
        <v>20</v>
      </c>
      <c r="O642" s="2">
        <f>MIN(U628:U647)</f>
        <v>0.10896817223549211</v>
      </c>
      <c r="U642" s="1">
        <f t="shared" si="189"/>
        <v>0.12310006631907564</v>
      </c>
    </row>
    <row r="643" spans="1:25" x14ac:dyDescent="0.25">
      <c r="A643" t="s">
        <v>3</v>
      </c>
      <c r="B643">
        <v>2.113</v>
      </c>
      <c r="C643">
        <v>1.8481799999999999</v>
      </c>
      <c r="D643">
        <f t="shared" si="190"/>
        <v>0.26482000000000006</v>
      </c>
      <c r="E643" s="1">
        <f t="shared" si="191"/>
        <v>0.14328690928372781</v>
      </c>
      <c r="N643" t="s">
        <v>21</v>
      </c>
      <c r="O643" s="2">
        <f>MAX(U628:U647)</f>
        <v>0.59170704642130567</v>
      </c>
      <c r="U643" s="1">
        <f t="shared" si="189"/>
        <v>0.15708943855081289</v>
      </c>
    </row>
    <row r="644" spans="1:25" x14ac:dyDescent="0.25">
      <c r="A644" t="s">
        <v>4</v>
      </c>
      <c r="B644">
        <v>2.1153</v>
      </c>
      <c r="C644">
        <v>1.80216</v>
      </c>
      <c r="D644">
        <f t="shared" si="190"/>
        <v>0.31313999999999997</v>
      </c>
      <c r="E644" s="1">
        <f t="shared" si="191"/>
        <v>0.17375815687841256</v>
      </c>
      <c r="N644" t="s">
        <v>22</v>
      </c>
      <c r="O644" s="2">
        <f>AVERAGE(U628:U647)</f>
        <v>0.18360203276808185</v>
      </c>
      <c r="U644" s="1">
        <f t="shared" si="189"/>
        <v>0.15389146029082471</v>
      </c>
    </row>
    <row r="645" spans="1:25" x14ac:dyDescent="0.25">
      <c r="A645" t="s">
        <v>5</v>
      </c>
      <c r="B645">
        <v>2.0908699999999998</v>
      </c>
      <c r="C645">
        <v>1.84246</v>
      </c>
      <c r="D645">
        <f t="shared" si="190"/>
        <v>0.2484099999999998</v>
      </c>
      <c r="E645" s="1">
        <f t="shared" si="191"/>
        <v>0.1348251793797422</v>
      </c>
      <c r="U645" s="1">
        <f t="shared" si="189"/>
        <v>0.13299995753174501</v>
      </c>
    </row>
    <row r="646" spans="1:25" x14ac:dyDescent="0.25">
      <c r="A646" t="s">
        <v>6</v>
      </c>
      <c r="B646">
        <v>2.0829800000000001</v>
      </c>
      <c r="C646">
        <v>1.85467</v>
      </c>
      <c r="D646">
        <f t="shared" si="190"/>
        <v>0.22831000000000001</v>
      </c>
      <c r="E646" s="1">
        <f t="shared" si="191"/>
        <v>0.12310006631907564</v>
      </c>
      <c r="U646" s="1">
        <f t="shared" si="189"/>
        <v>0.12456438209275308</v>
      </c>
    </row>
    <row r="647" spans="1:25" x14ac:dyDescent="0.25">
      <c r="A647" t="s">
        <v>7</v>
      </c>
      <c r="B647">
        <v>2.0887199999999999</v>
      </c>
      <c r="C647">
        <v>1.80515</v>
      </c>
      <c r="D647">
        <f t="shared" si="190"/>
        <v>0.28356999999999988</v>
      </c>
      <c r="E647" s="1">
        <f t="shared" si="191"/>
        <v>0.15708943855081289</v>
      </c>
      <c r="U647" s="1">
        <f t="shared" si="189"/>
        <v>0.59170704642130567</v>
      </c>
    </row>
    <row r="648" spans="1:25" x14ac:dyDescent="0.25">
      <c r="A648" t="s">
        <v>8</v>
      </c>
      <c r="B648">
        <v>2.07667</v>
      </c>
      <c r="C648">
        <v>1.7997099999999999</v>
      </c>
      <c r="D648">
        <f t="shared" si="190"/>
        <v>0.27696000000000009</v>
      </c>
      <c r="E648" s="1">
        <f t="shared" si="191"/>
        <v>0.15389146029082471</v>
      </c>
    </row>
    <row r="649" spans="1:25" x14ac:dyDescent="0.25">
      <c r="A649" t="s">
        <v>9</v>
      </c>
      <c r="B649">
        <v>2.1343000000000001</v>
      </c>
      <c r="C649">
        <v>1.8837600000000001</v>
      </c>
      <c r="D649">
        <f t="shared" si="190"/>
        <v>0.25053999999999998</v>
      </c>
      <c r="E649" s="1">
        <f t="shared" si="191"/>
        <v>0.13299995753174501</v>
      </c>
    </row>
    <row r="650" spans="1:25" x14ac:dyDescent="0.25">
      <c r="A650" t="s">
        <v>10</v>
      </c>
      <c r="B650">
        <v>2.1394500000000001</v>
      </c>
      <c r="C650">
        <v>1.9024700000000001</v>
      </c>
      <c r="D650">
        <f t="shared" si="190"/>
        <v>0.23697999999999997</v>
      </c>
      <c r="E650" s="1">
        <f t="shared" si="191"/>
        <v>0.12456438209275308</v>
      </c>
    </row>
    <row r="651" spans="1:25" x14ac:dyDescent="0.25">
      <c r="A651" t="s">
        <v>11</v>
      </c>
      <c r="B651">
        <v>6.4547699999999999</v>
      </c>
      <c r="C651">
        <v>4.05525</v>
      </c>
      <c r="D651">
        <f t="shared" si="190"/>
        <v>2.3995199999999999</v>
      </c>
      <c r="E651" s="1">
        <f t="shared" si="191"/>
        <v>0.59170704642130567</v>
      </c>
    </row>
    <row r="653" spans="1:25" x14ac:dyDescent="0.25">
      <c r="A653" s="6" t="s">
        <v>52</v>
      </c>
      <c r="B653" s="6"/>
    </row>
    <row r="655" spans="1:25" x14ac:dyDescent="0.25">
      <c r="A655" t="s">
        <v>1</v>
      </c>
      <c r="B655" t="s">
        <v>12</v>
      </c>
      <c r="C655" t="s">
        <v>13</v>
      </c>
      <c r="E655" t="s">
        <v>15</v>
      </c>
      <c r="I655" t="s">
        <v>16</v>
      </c>
      <c r="J655" t="s">
        <v>17</v>
      </c>
      <c r="K655" t="s">
        <v>18</v>
      </c>
      <c r="U655" s="1">
        <f t="shared" ref="U655:U664" si="192">J656</f>
        <v>2.9415642405021255E-2</v>
      </c>
      <c r="W655" s="2">
        <f>O669</f>
        <v>2.0040111594868539E-2</v>
      </c>
      <c r="X655" s="2">
        <f>O670</f>
        <v>0.26235021233384292</v>
      </c>
      <c r="Y655" s="2">
        <f>O671</f>
        <v>5.1376892109388762E-2</v>
      </c>
    </row>
    <row r="656" spans="1:25" x14ac:dyDescent="0.25">
      <c r="A656" t="s">
        <v>2</v>
      </c>
      <c r="B656">
        <v>1.1028849553031901</v>
      </c>
      <c r="C656">
        <v>1.0713699208286001</v>
      </c>
      <c r="D656">
        <f t="shared" ref="D656:D665" si="193">B656-C656</f>
        <v>3.1515034474590031E-2</v>
      </c>
      <c r="E656" s="1">
        <f t="shared" ref="E656:E665" si="194">D656/C656</f>
        <v>2.9415642405021255E-2</v>
      </c>
      <c r="I656" t="s">
        <v>2</v>
      </c>
      <c r="J656" s="1">
        <f t="shared" ref="J656:J665" si="195">E656</f>
        <v>2.9415642405021255E-2</v>
      </c>
      <c r="K656" s="1">
        <f t="shared" ref="K656:K665" si="196">E669</f>
        <v>3.6099519152318446E-2</v>
      </c>
      <c r="U656" s="1">
        <f t="shared" si="192"/>
        <v>2.6893622466237128E-2</v>
      </c>
    </row>
    <row r="657" spans="1:21" x14ac:dyDescent="0.25">
      <c r="A657" t="s">
        <v>3</v>
      </c>
      <c r="B657">
        <v>1.1187806408552801</v>
      </c>
      <c r="C657">
        <v>1.08948056193821</v>
      </c>
      <c r="D657">
        <f t="shared" si="193"/>
        <v>2.9300078917070094E-2</v>
      </c>
      <c r="E657" s="1">
        <f t="shared" si="194"/>
        <v>2.6893622466237128E-2</v>
      </c>
      <c r="I657" t="s">
        <v>3</v>
      </c>
      <c r="J657" s="1">
        <f t="shared" si="195"/>
        <v>2.6893622466237128E-2</v>
      </c>
      <c r="K657" s="1">
        <f t="shared" si="196"/>
        <v>2.7918083795886131E-2</v>
      </c>
      <c r="U657" s="1">
        <f t="shared" si="192"/>
        <v>3.4345630266863866E-2</v>
      </c>
    </row>
    <row r="658" spans="1:21" x14ac:dyDescent="0.25">
      <c r="A658" t="s">
        <v>4</v>
      </c>
      <c r="B658">
        <v>1.13156915312594</v>
      </c>
      <c r="C658">
        <v>1.09399519852372</v>
      </c>
      <c r="D658">
        <f t="shared" si="193"/>
        <v>3.7573954602220017E-2</v>
      </c>
      <c r="E658" s="1">
        <f t="shared" si="194"/>
        <v>3.4345630266863866E-2</v>
      </c>
      <c r="I658" t="s">
        <v>4</v>
      </c>
      <c r="J658" s="1">
        <f t="shared" si="195"/>
        <v>3.4345630266863866E-2</v>
      </c>
      <c r="K658" s="1">
        <f t="shared" si="196"/>
        <v>3.4141997420073844E-2</v>
      </c>
      <c r="U658" s="1">
        <f t="shared" si="192"/>
        <v>2.6858221546045453E-2</v>
      </c>
    </row>
    <row r="659" spans="1:21" x14ac:dyDescent="0.25">
      <c r="A659" t="s">
        <v>5</v>
      </c>
      <c r="B659">
        <v>1.12937037330111</v>
      </c>
      <c r="C659">
        <v>1.0998308720757199</v>
      </c>
      <c r="D659">
        <f t="shared" si="193"/>
        <v>2.9539501225390064E-2</v>
      </c>
      <c r="E659" s="1">
        <f t="shared" si="194"/>
        <v>2.6858221546045453E-2</v>
      </c>
      <c r="I659" t="s">
        <v>5</v>
      </c>
      <c r="J659" s="1">
        <f t="shared" si="195"/>
        <v>2.6858221546045453E-2</v>
      </c>
      <c r="K659" s="1">
        <f t="shared" si="196"/>
        <v>2.6624404807445781E-2</v>
      </c>
      <c r="U659" s="1">
        <f t="shared" si="192"/>
        <v>3.5111099677363179E-2</v>
      </c>
    </row>
    <row r="660" spans="1:21" x14ac:dyDescent="0.25">
      <c r="A660" t="s">
        <v>6</v>
      </c>
      <c r="B660">
        <v>1.1427732091084699</v>
      </c>
      <c r="C660">
        <v>1.10401019703553</v>
      </c>
      <c r="D660">
        <f t="shared" si="193"/>
        <v>3.8763012072939862E-2</v>
      </c>
      <c r="E660" s="1">
        <f t="shared" si="194"/>
        <v>3.5111099677363179E-2</v>
      </c>
      <c r="I660" t="s">
        <v>6</v>
      </c>
      <c r="J660" s="1">
        <f t="shared" si="195"/>
        <v>3.5111099677363179E-2</v>
      </c>
      <c r="K660" s="1">
        <f t="shared" si="196"/>
        <v>3.2428195706681318E-2</v>
      </c>
      <c r="U660" s="1">
        <f t="shared" si="192"/>
        <v>2.8164168059383203E-2</v>
      </c>
    </row>
    <row r="661" spans="1:21" x14ac:dyDescent="0.25">
      <c r="A661" t="s">
        <v>7</v>
      </c>
      <c r="B661">
        <v>1.1449625024160299</v>
      </c>
      <c r="C661">
        <v>1.1135989154116299</v>
      </c>
      <c r="D661">
        <f t="shared" si="193"/>
        <v>3.1363587004400006E-2</v>
      </c>
      <c r="E661" s="1">
        <f t="shared" si="194"/>
        <v>2.8164168059383203E-2</v>
      </c>
      <c r="I661" t="s">
        <v>7</v>
      </c>
      <c r="J661" s="1">
        <f t="shared" si="195"/>
        <v>2.8164168059383203E-2</v>
      </c>
      <c r="K661" s="1">
        <f t="shared" si="196"/>
        <v>3.0772290256616611E-2</v>
      </c>
      <c r="U661" s="1">
        <f t="shared" si="192"/>
        <v>2.6320047313167644E-2</v>
      </c>
    </row>
    <row r="662" spans="1:21" x14ac:dyDescent="0.25">
      <c r="A662" t="s">
        <v>8</v>
      </c>
      <c r="B662">
        <v>1.1463254632761499</v>
      </c>
      <c r="C662">
        <v>1.11692786892076</v>
      </c>
      <c r="D662">
        <f t="shared" si="193"/>
        <v>2.9397594355389911E-2</v>
      </c>
      <c r="E662" s="1">
        <f t="shared" si="194"/>
        <v>2.6320047313167644E-2</v>
      </c>
      <c r="I662" t="s">
        <v>8</v>
      </c>
      <c r="J662" s="1">
        <f t="shared" si="195"/>
        <v>2.6320047313167644E-2</v>
      </c>
      <c r="K662" s="1">
        <f t="shared" si="196"/>
        <v>2.3192476364127426E-2</v>
      </c>
      <c r="U662" s="1">
        <f t="shared" si="192"/>
        <v>2.3325131639473598E-2</v>
      </c>
    </row>
    <row r="663" spans="1:21" x14ac:dyDescent="0.25">
      <c r="A663" t="s">
        <v>9</v>
      </c>
      <c r="B663">
        <v>1.17988394140743</v>
      </c>
      <c r="C663">
        <v>1.15299029108875</v>
      </c>
      <c r="D663">
        <f t="shared" si="193"/>
        <v>2.6893650318680073E-2</v>
      </c>
      <c r="E663" s="1">
        <f t="shared" si="194"/>
        <v>2.3325131639473598E-2</v>
      </c>
      <c r="I663" t="s">
        <v>9</v>
      </c>
      <c r="J663" s="1">
        <f t="shared" si="195"/>
        <v>2.3325131639473598E-2</v>
      </c>
      <c r="K663" s="1">
        <f t="shared" si="196"/>
        <v>2.0801927066386568E-2</v>
      </c>
      <c r="U663" s="1">
        <f t="shared" si="192"/>
        <v>2.0040111594868539E-2</v>
      </c>
    </row>
    <row r="664" spans="1:21" x14ac:dyDescent="0.25">
      <c r="A664" t="s">
        <v>10</v>
      </c>
      <c r="B664">
        <v>1.23794092600423</v>
      </c>
      <c r="C664">
        <v>1.2136198488005201</v>
      </c>
      <c r="D664">
        <f t="shared" si="193"/>
        <v>2.4321077203709907E-2</v>
      </c>
      <c r="E664" s="1">
        <f t="shared" si="194"/>
        <v>2.0040111594868539E-2</v>
      </c>
      <c r="I664" t="s">
        <v>10</v>
      </c>
      <c r="J664" s="1">
        <f t="shared" si="195"/>
        <v>2.0040111594868539E-2</v>
      </c>
      <c r="K664" s="1">
        <f t="shared" si="196"/>
        <v>2.0905821044090576E-2</v>
      </c>
      <c r="U664" s="1">
        <f t="shared" si="192"/>
        <v>0.26182923927188156</v>
      </c>
    </row>
    <row r="665" spans="1:21" x14ac:dyDescent="0.25">
      <c r="A665" t="s">
        <v>11</v>
      </c>
      <c r="B665">
        <v>2.1360934948054999</v>
      </c>
      <c r="C665">
        <v>1.69285464968152</v>
      </c>
      <c r="D665">
        <f t="shared" si="193"/>
        <v>0.44323884512397993</v>
      </c>
      <c r="E665" s="1">
        <f t="shared" si="194"/>
        <v>0.26182923927188156</v>
      </c>
      <c r="I665" t="s">
        <v>11</v>
      </c>
      <c r="J665" s="1">
        <f t="shared" si="195"/>
        <v>0.26182923927188156</v>
      </c>
      <c r="K665" s="1">
        <f t="shared" si="196"/>
        <v>0.26235021233384292</v>
      </c>
      <c r="U665" s="1">
        <f t="shared" ref="U665:U674" si="197">K656</f>
        <v>3.6099519152318446E-2</v>
      </c>
    </row>
    <row r="666" spans="1:21" x14ac:dyDescent="0.25">
      <c r="U666" s="1">
        <f t="shared" si="197"/>
        <v>2.7918083795886131E-2</v>
      </c>
    </row>
    <row r="667" spans="1:21" x14ac:dyDescent="0.25">
      <c r="U667" s="1">
        <f t="shared" si="197"/>
        <v>3.4141997420073844E-2</v>
      </c>
    </row>
    <row r="668" spans="1:21" x14ac:dyDescent="0.25">
      <c r="A668" t="s">
        <v>1</v>
      </c>
      <c r="B668" t="s">
        <v>14</v>
      </c>
      <c r="C668" t="s">
        <v>13</v>
      </c>
      <c r="I668" t="s">
        <v>19</v>
      </c>
      <c r="J668" s="2">
        <f>AVERAGE(J656:J665)</f>
        <v>5.1230291424030537E-2</v>
      </c>
      <c r="K668" s="2">
        <f>AVERAGE(K656:K665)</f>
        <v>5.1523492794746953E-2</v>
      </c>
      <c r="U668" s="1">
        <f t="shared" si="197"/>
        <v>2.6624404807445781E-2</v>
      </c>
    </row>
    <row r="669" spans="1:21" x14ac:dyDescent="0.25">
      <c r="A669" t="s">
        <v>2</v>
      </c>
      <c r="B669">
        <v>1.11004585980477</v>
      </c>
      <c r="C669">
        <v>1.0713699208286001</v>
      </c>
      <c r="D669">
        <f t="shared" ref="D669:D678" si="198">B669-C669</f>
        <v>3.8675938976169943E-2</v>
      </c>
      <c r="E669" s="1">
        <f t="shared" ref="E669:E678" si="199">D669/C669</f>
        <v>3.6099519152318446E-2</v>
      </c>
      <c r="N669" t="s">
        <v>20</v>
      </c>
      <c r="O669" s="2">
        <f>MIN(U655:U674)</f>
        <v>2.0040111594868539E-2</v>
      </c>
      <c r="U669" s="1">
        <f t="shared" si="197"/>
        <v>3.2428195706681318E-2</v>
      </c>
    </row>
    <row r="670" spans="1:21" x14ac:dyDescent="0.25">
      <c r="A670" t="s">
        <v>3</v>
      </c>
      <c r="B670">
        <v>1.11989677156039</v>
      </c>
      <c r="C670">
        <v>1.08948056193821</v>
      </c>
      <c r="D670">
        <f t="shared" si="198"/>
        <v>3.0416209622180057E-2</v>
      </c>
      <c r="E670" s="1">
        <f t="shared" si="199"/>
        <v>2.7918083795886131E-2</v>
      </c>
      <c r="N670" t="s">
        <v>21</v>
      </c>
      <c r="O670" s="2">
        <f>MAX(U655:U674)</f>
        <v>0.26235021233384292</v>
      </c>
      <c r="U670" s="1">
        <f t="shared" si="197"/>
        <v>3.0772290256616611E-2</v>
      </c>
    </row>
    <row r="671" spans="1:21" x14ac:dyDescent="0.25">
      <c r="A671" t="s">
        <v>4</v>
      </c>
      <c r="B671">
        <v>1.13134637976929</v>
      </c>
      <c r="C671">
        <v>1.09399519852372</v>
      </c>
      <c r="D671">
        <f t="shared" si="198"/>
        <v>3.735118124557002E-2</v>
      </c>
      <c r="E671" s="1">
        <f t="shared" si="199"/>
        <v>3.4141997420073844E-2</v>
      </c>
      <c r="N671" t="s">
        <v>22</v>
      </c>
      <c r="O671" s="2">
        <f>AVERAGE(U655:U674)</f>
        <v>5.1376892109388762E-2</v>
      </c>
      <c r="U671" s="1">
        <f t="shared" si="197"/>
        <v>2.3192476364127426E-2</v>
      </c>
    </row>
    <row r="672" spans="1:21" x14ac:dyDescent="0.25">
      <c r="A672" t="s">
        <v>5</v>
      </c>
      <c r="B672">
        <v>1.12911321443359</v>
      </c>
      <c r="C672">
        <v>1.0998308720757199</v>
      </c>
      <c r="D672">
        <f t="shared" si="198"/>
        <v>2.9282342357870084E-2</v>
      </c>
      <c r="E672" s="1">
        <f t="shared" si="199"/>
        <v>2.6624404807445781E-2</v>
      </c>
      <c r="U672" s="1">
        <f t="shared" si="197"/>
        <v>2.0801927066386568E-2</v>
      </c>
    </row>
    <row r="673" spans="1:25" x14ac:dyDescent="0.25">
      <c r="A673" t="s">
        <v>6</v>
      </c>
      <c r="B673">
        <v>1.13981125576717</v>
      </c>
      <c r="C673">
        <v>1.10401019703553</v>
      </c>
      <c r="D673">
        <f t="shared" si="198"/>
        <v>3.5801058731639968E-2</v>
      </c>
      <c r="E673" s="1">
        <f t="shared" si="199"/>
        <v>3.2428195706681318E-2</v>
      </c>
      <c r="U673" s="1">
        <f t="shared" si="197"/>
        <v>2.0905821044090576E-2</v>
      </c>
    </row>
    <row r="674" spans="1:25" x14ac:dyDescent="0.25">
      <c r="A674" t="s">
        <v>7</v>
      </c>
      <c r="B674">
        <v>1.14786690446613</v>
      </c>
      <c r="C674">
        <v>1.1135989154116299</v>
      </c>
      <c r="D674">
        <f t="shared" si="198"/>
        <v>3.4267989054500125E-2</v>
      </c>
      <c r="E674" s="1">
        <f t="shared" si="199"/>
        <v>3.0772290256616611E-2</v>
      </c>
      <c r="U674" s="1">
        <f t="shared" si="197"/>
        <v>0.26235021233384292</v>
      </c>
    </row>
    <row r="675" spans="1:25" x14ac:dyDescent="0.25">
      <c r="A675" t="s">
        <v>8</v>
      </c>
      <c r="B675">
        <v>1.14283219212114</v>
      </c>
      <c r="C675">
        <v>1.11692786892076</v>
      </c>
      <c r="D675">
        <f t="shared" si="198"/>
        <v>2.5904323200379942E-2</v>
      </c>
      <c r="E675" s="1">
        <f t="shared" si="199"/>
        <v>2.3192476364127426E-2</v>
      </c>
    </row>
    <row r="676" spans="1:25" x14ac:dyDescent="0.25">
      <c r="A676" t="s">
        <v>9</v>
      </c>
      <c r="B676">
        <v>1.1769747110322299</v>
      </c>
      <c r="C676">
        <v>1.15299029108875</v>
      </c>
      <c r="D676">
        <f t="shared" si="198"/>
        <v>2.3984419943479995E-2</v>
      </c>
      <c r="E676" s="1">
        <f t="shared" si="199"/>
        <v>2.0801927066386568E-2</v>
      </c>
    </row>
    <row r="677" spans="1:25" x14ac:dyDescent="0.25">
      <c r="A677" t="s">
        <v>10</v>
      </c>
      <c r="B677">
        <v>1.2389915681751</v>
      </c>
      <c r="C677">
        <v>1.2136198488005201</v>
      </c>
      <c r="D677">
        <f t="shared" si="198"/>
        <v>2.5371719374579937E-2</v>
      </c>
      <c r="E677" s="1">
        <f t="shared" si="199"/>
        <v>2.0905821044090576E-2</v>
      </c>
    </row>
    <row r="678" spans="1:25" x14ac:dyDescent="0.25">
      <c r="A678" t="s">
        <v>11</v>
      </c>
      <c r="B678">
        <v>2.1369754264758001</v>
      </c>
      <c r="C678">
        <v>1.69285464968152</v>
      </c>
      <c r="D678">
        <f t="shared" si="198"/>
        <v>0.44412077679428008</v>
      </c>
      <c r="E678" s="1">
        <f t="shared" si="199"/>
        <v>0.26235021233384292</v>
      </c>
    </row>
    <row r="680" spans="1:25" x14ac:dyDescent="0.25">
      <c r="A680" s="6" t="s">
        <v>53</v>
      </c>
      <c r="B680" s="6"/>
    </row>
    <row r="682" spans="1:25" x14ac:dyDescent="0.25">
      <c r="A682" t="s">
        <v>1</v>
      </c>
      <c r="B682" t="s">
        <v>12</v>
      </c>
      <c r="C682" t="s">
        <v>13</v>
      </c>
      <c r="E682" t="s">
        <v>15</v>
      </c>
      <c r="I682" t="s">
        <v>16</v>
      </c>
      <c r="J682" t="s">
        <v>17</v>
      </c>
      <c r="K682" t="s">
        <v>18</v>
      </c>
      <c r="U682" s="1">
        <f t="shared" ref="U682:U691" si="200">J683</f>
        <v>0.23896710740142346</v>
      </c>
      <c r="W682" s="2">
        <f>O696</f>
        <v>0.18255172021907584</v>
      </c>
      <c r="X682" s="2">
        <f>O697</f>
        <v>0.68232959815116068</v>
      </c>
      <c r="Y682" s="2">
        <f>O698</f>
        <v>0.2915365989629965</v>
      </c>
    </row>
    <row r="683" spans="1:25" x14ac:dyDescent="0.25">
      <c r="A683" t="s">
        <v>2</v>
      </c>
      <c r="B683">
        <v>2.63029</v>
      </c>
      <c r="C683">
        <v>2.12297</v>
      </c>
      <c r="D683">
        <f t="shared" ref="D683:D692" si="201">B683-C683</f>
        <v>0.50731999999999999</v>
      </c>
      <c r="E683" s="1">
        <f t="shared" ref="E683:E692" si="202">D683/C683</f>
        <v>0.23896710740142346</v>
      </c>
      <c r="I683" t="s">
        <v>2</v>
      </c>
      <c r="J683" s="1">
        <f t="shared" ref="J683:J692" si="203">E683</f>
        <v>0.23896710740142346</v>
      </c>
      <c r="K683" s="1">
        <f t="shared" ref="K683:K692" si="204">E696</f>
        <v>0.29432351846705318</v>
      </c>
      <c r="U683" s="1">
        <f t="shared" si="200"/>
        <v>0.27288930581613502</v>
      </c>
    </row>
    <row r="684" spans="1:25" x14ac:dyDescent="0.25">
      <c r="A684" t="s">
        <v>3</v>
      </c>
      <c r="B684">
        <v>2.7138</v>
      </c>
      <c r="C684">
        <v>2.1320000000000001</v>
      </c>
      <c r="D684">
        <f t="shared" si="201"/>
        <v>0.58179999999999987</v>
      </c>
      <c r="E684" s="1">
        <f t="shared" si="202"/>
        <v>0.27288930581613502</v>
      </c>
      <c r="I684" t="s">
        <v>3</v>
      </c>
      <c r="J684" s="1">
        <f t="shared" si="203"/>
        <v>0.27288930581613502</v>
      </c>
      <c r="K684" s="1">
        <f t="shared" si="204"/>
        <v>0.30113039399624764</v>
      </c>
      <c r="U684" s="1">
        <f t="shared" si="200"/>
        <v>0.31735300047354925</v>
      </c>
    </row>
    <row r="685" spans="1:25" x14ac:dyDescent="0.25">
      <c r="A685" t="s">
        <v>4</v>
      </c>
      <c r="B685">
        <v>2.8096899999999998</v>
      </c>
      <c r="C685">
        <v>2.1328299999999998</v>
      </c>
      <c r="D685">
        <f t="shared" si="201"/>
        <v>0.67686000000000002</v>
      </c>
      <c r="E685" s="1">
        <f t="shared" si="202"/>
        <v>0.31735300047354925</v>
      </c>
      <c r="I685" t="s">
        <v>4</v>
      </c>
      <c r="J685" s="1">
        <f t="shared" si="203"/>
        <v>0.31735300047354925</v>
      </c>
      <c r="K685" s="1">
        <f t="shared" si="204"/>
        <v>0.3268146078215331</v>
      </c>
      <c r="U685" s="1">
        <f t="shared" si="200"/>
        <v>0.21396095586011135</v>
      </c>
    </row>
    <row r="686" spans="1:25" x14ac:dyDescent="0.25">
      <c r="A686" t="s">
        <v>5</v>
      </c>
      <c r="B686">
        <v>2.6086200000000002</v>
      </c>
      <c r="C686">
        <v>2.1488499999999999</v>
      </c>
      <c r="D686">
        <f t="shared" si="201"/>
        <v>0.45977000000000023</v>
      </c>
      <c r="E686" s="1">
        <f t="shared" si="202"/>
        <v>0.21396095586011135</v>
      </c>
      <c r="I686" t="s">
        <v>5</v>
      </c>
      <c r="J686" s="1">
        <f t="shared" si="203"/>
        <v>0.21396095586011135</v>
      </c>
      <c r="K686" s="1">
        <f t="shared" si="204"/>
        <v>0.25850571235777287</v>
      </c>
      <c r="U686" s="1">
        <f t="shared" si="200"/>
        <v>0.30172517627002438</v>
      </c>
    </row>
    <row r="687" spans="1:25" x14ac:dyDescent="0.25">
      <c r="A687" t="s">
        <v>6</v>
      </c>
      <c r="B687">
        <v>2.80993</v>
      </c>
      <c r="C687">
        <v>2.15862</v>
      </c>
      <c r="D687">
        <f t="shared" si="201"/>
        <v>0.65131000000000006</v>
      </c>
      <c r="E687" s="1">
        <f t="shared" si="202"/>
        <v>0.30172517627002438</v>
      </c>
      <c r="I687" t="s">
        <v>6</v>
      </c>
      <c r="J687" s="1">
        <f t="shared" si="203"/>
        <v>0.30172517627002438</v>
      </c>
      <c r="K687" s="1">
        <f t="shared" si="204"/>
        <v>0.2928445025062309</v>
      </c>
      <c r="U687" s="1">
        <f t="shared" si="200"/>
        <v>0.23676374529810559</v>
      </c>
    </row>
    <row r="688" spans="1:25" x14ac:dyDescent="0.25">
      <c r="A688" t="s">
        <v>7</v>
      </c>
      <c r="B688">
        <v>2.7454299999999998</v>
      </c>
      <c r="C688">
        <v>2.2198500000000001</v>
      </c>
      <c r="D688">
        <f t="shared" si="201"/>
        <v>0.52557999999999971</v>
      </c>
      <c r="E688" s="1">
        <f t="shared" si="202"/>
        <v>0.23676374529810559</v>
      </c>
      <c r="I688" t="s">
        <v>7</v>
      </c>
      <c r="J688" s="1">
        <f t="shared" si="203"/>
        <v>0.23676374529810559</v>
      </c>
      <c r="K688" s="1">
        <f t="shared" si="204"/>
        <v>0.2196004234520349</v>
      </c>
      <c r="U688" s="1">
        <f t="shared" si="200"/>
        <v>0.21627414840603446</v>
      </c>
    </row>
    <row r="689" spans="1:21" x14ac:dyDescent="0.25">
      <c r="A689" t="s">
        <v>8</v>
      </c>
      <c r="B689">
        <v>2.67258</v>
      </c>
      <c r="C689">
        <v>2.1973500000000001</v>
      </c>
      <c r="D689">
        <f t="shared" si="201"/>
        <v>0.47522999999999982</v>
      </c>
      <c r="E689" s="1">
        <f t="shared" si="202"/>
        <v>0.21627414840603446</v>
      </c>
      <c r="I689" t="s">
        <v>8</v>
      </c>
      <c r="J689" s="1">
        <f t="shared" si="203"/>
        <v>0.21627414840603446</v>
      </c>
      <c r="K689" s="1">
        <f t="shared" si="204"/>
        <v>0.20384554122010598</v>
      </c>
      <c r="U689" s="1">
        <f t="shared" si="200"/>
        <v>0.24730983721297789</v>
      </c>
    </row>
    <row r="690" spans="1:21" x14ac:dyDescent="0.25">
      <c r="A690" t="s">
        <v>9</v>
      </c>
      <c r="B690">
        <v>2.7622300000000002</v>
      </c>
      <c r="C690">
        <v>2.21455</v>
      </c>
      <c r="D690">
        <f t="shared" si="201"/>
        <v>0.54768000000000017</v>
      </c>
      <c r="E690" s="1">
        <f t="shared" si="202"/>
        <v>0.24730983721297789</v>
      </c>
      <c r="I690" t="s">
        <v>9</v>
      </c>
      <c r="J690" s="1">
        <f t="shared" si="203"/>
        <v>0.24730983721297789</v>
      </c>
      <c r="K690" s="1">
        <f t="shared" si="204"/>
        <v>0.18525659840599673</v>
      </c>
      <c r="U690" s="1">
        <f t="shared" si="200"/>
        <v>0.18255172021907584</v>
      </c>
    </row>
    <row r="691" spans="1:21" x14ac:dyDescent="0.25">
      <c r="A691" t="s">
        <v>10</v>
      </c>
      <c r="B691">
        <v>2.7054299999999998</v>
      </c>
      <c r="C691">
        <v>2.2877900000000002</v>
      </c>
      <c r="D691">
        <f t="shared" si="201"/>
        <v>0.41763999999999957</v>
      </c>
      <c r="E691" s="1">
        <f t="shared" si="202"/>
        <v>0.18255172021907584</v>
      </c>
      <c r="I691" t="s">
        <v>10</v>
      </c>
      <c r="J691" s="1">
        <f t="shared" si="203"/>
        <v>0.18255172021907584</v>
      </c>
      <c r="K691" s="1">
        <f t="shared" si="204"/>
        <v>0.2019722089877129</v>
      </c>
      <c r="U691" s="1">
        <f t="shared" si="200"/>
        <v>0.68232959815116068</v>
      </c>
    </row>
    <row r="692" spans="1:21" x14ac:dyDescent="0.25">
      <c r="A692" t="s">
        <v>11</v>
      </c>
      <c r="B692">
        <v>8.8518799999999995</v>
      </c>
      <c r="C692">
        <v>5.2616800000000001</v>
      </c>
      <c r="D692">
        <f t="shared" si="201"/>
        <v>3.5901999999999994</v>
      </c>
      <c r="E692" s="1">
        <f t="shared" si="202"/>
        <v>0.68232959815116068</v>
      </c>
      <c r="I692" t="s">
        <v>11</v>
      </c>
      <c r="J692" s="1">
        <f t="shared" si="203"/>
        <v>0.68232959815116068</v>
      </c>
      <c r="K692" s="1">
        <f t="shared" si="204"/>
        <v>0.63631387693664365</v>
      </c>
      <c r="U692" s="1">
        <f t="shared" ref="U692:U701" si="205">K683</f>
        <v>0.29432351846705318</v>
      </c>
    </row>
    <row r="693" spans="1:21" x14ac:dyDescent="0.25">
      <c r="U693" s="1">
        <f t="shared" si="205"/>
        <v>0.30113039399624764</v>
      </c>
    </row>
    <row r="694" spans="1:21" x14ac:dyDescent="0.25">
      <c r="U694" s="1">
        <f t="shared" si="205"/>
        <v>0.3268146078215331</v>
      </c>
    </row>
    <row r="695" spans="1:21" x14ac:dyDescent="0.25">
      <c r="A695" t="s">
        <v>1</v>
      </c>
      <c r="B695" t="s">
        <v>14</v>
      </c>
      <c r="C695" t="s">
        <v>13</v>
      </c>
      <c r="I695" t="s">
        <v>19</v>
      </c>
      <c r="J695" s="2">
        <f>AVERAGE(J683:J692)</f>
        <v>0.29101245951085974</v>
      </c>
      <c r="K695" s="2">
        <f>AVERAGE(K683:K692)</f>
        <v>0.29206073841513319</v>
      </c>
      <c r="U695" s="1">
        <f t="shared" si="205"/>
        <v>0.25850571235777287</v>
      </c>
    </row>
    <row r="696" spans="1:21" x14ac:dyDescent="0.25">
      <c r="A696" t="s">
        <v>2</v>
      </c>
      <c r="B696">
        <v>2.7478099999999999</v>
      </c>
      <c r="C696">
        <v>2.12297</v>
      </c>
      <c r="D696">
        <f t="shared" ref="D696:D705" si="206">B696-C696</f>
        <v>0.62483999999999984</v>
      </c>
      <c r="E696" s="1">
        <f t="shared" ref="E696:E705" si="207">D696/C696</f>
        <v>0.29432351846705318</v>
      </c>
      <c r="N696" t="s">
        <v>20</v>
      </c>
      <c r="O696" s="2">
        <f>MIN(U682:U701)</f>
        <v>0.18255172021907584</v>
      </c>
      <c r="U696" s="1">
        <f t="shared" si="205"/>
        <v>0.2928445025062309</v>
      </c>
    </row>
    <row r="697" spans="1:21" x14ac:dyDescent="0.25">
      <c r="A697" t="s">
        <v>3</v>
      </c>
      <c r="B697">
        <v>2.7740100000000001</v>
      </c>
      <c r="C697">
        <v>2.1320000000000001</v>
      </c>
      <c r="D697">
        <f t="shared" si="206"/>
        <v>0.64200999999999997</v>
      </c>
      <c r="E697" s="1">
        <f t="shared" si="207"/>
        <v>0.30113039399624764</v>
      </c>
      <c r="N697" t="s">
        <v>21</v>
      </c>
      <c r="O697" s="2">
        <f>MAX(U682:U701)</f>
        <v>0.68232959815116068</v>
      </c>
      <c r="U697" s="1">
        <f t="shared" si="205"/>
        <v>0.2196004234520349</v>
      </c>
    </row>
    <row r="698" spans="1:21" x14ac:dyDescent="0.25">
      <c r="A698" t="s">
        <v>4</v>
      </c>
      <c r="B698">
        <v>2.8298700000000001</v>
      </c>
      <c r="C698">
        <v>2.1328299999999998</v>
      </c>
      <c r="D698">
        <f t="shared" si="206"/>
        <v>0.69704000000000033</v>
      </c>
      <c r="E698" s="1">
        <f t="shared" si="207"/>
        <v>0.3268146078215331</v>
      </c>
      <c r="N698" t="s">
        <v>22</v>
      </c>
      <c r="O698" s="2">
        <f>AVERAGE(U682:U701)</f>
        <v>0.2915365989629965</v>
      </c>
      <c r="U698" s="1">
        <f t="shared" si="205"/>
        <v>0.20384554122010598</v>
      </c>
    </row>
    <row r="699" spans="1:21" x14ac:dyDescent="0.25">
      <c r="A699" t="s">
        <v>5</v>
      </c>
      <c r="B699">
        <v>2.7043400000000002</v>
      </c>
      <c r="C699">
        <v>2.1488499999999999</v>
      </c>
      <c r="D699">
        <f t="shared" si="206"/>
        <v>0.55549000000000026</v>
      </c>
      <c r="E699" s="1">
        <f t="shared" si="207"/>
        <v>0.25850571235777287</v>
      </c>
      <c r="U699" s="1">
        <f t="shared" si="205"/>
        <v>0.18525659840599673</v>
      </c>
    </row>
    <row r="700" spans="1:21" x14ac:dyDescent="0.25">
      <c r="A700" t="s">
        <v>6</v>
      </c>
      <c r="B700">
        <v>2.7907600000000001</v>
      </c>
      <c r="C700">
        <v>2.15862</v>
      </c>
      <c r="D700">
        <f t="shared" si="206"/>
        <v>0.63214000000000015</v>
      </c>
      <c r="E700" s="1">
        <f t="shared" si="207"/>
        <v>0.2928445025062309</v>
      </c>
      <c r="U700" s="1">
        <f t="shared" si="205"/>
        <v>0.2019722089877129</v>
      </c>
    </row>
    <row r="701" spans="1:21" x14ac:dyDescent="0.25">
      <c r="A701" t="s">
        <v>7</v>
      </c>
      <c r="B701">
        <v>2.7073299999999998</v>
      </c>
      <c r="C701">
        <v>2.2198500000000001</v>
      </c>
      <c r="D701">
        <f t="shared" si="206"/>
        <v>0.48747999999999969</v>
      </c>
      <c r="E701" s="1">
        <f t="shared" si="207"/>
        <v>0.2196004234520349</v>
      </c>
      <c r="U701" s="1">
        <f t="shared" si="205"/>
        <v>0.63631387693664365</v>
      </c>
    </row>
    <row r="702" spans="1:21" x14ac:dyDescent="0.25">
      <c r="A702" t="s">
        <v>8</v>
      </c>
      <c r="B702">
        <v>2.64527</v>
      </c>
      <c r="C702">
        <v>2.1973500000000001</v>
      </c>
      <c r="D702">
        <f t="shared" si="206"/>
        <v>0.44791999999999987</v>
      </c>
      <c r="E702" s="1">
        <f t="shared" si="207"/>
        <v>0.20384554122010598</v>
      </c>
    </row>
    <row r="703" spans="1:21" x14ac:dyDescent="0.25">
      <c r="A703" t="s">
        <v>9</v>
      </c>
      <c r="B703">
        <v>2.6248100000000001</v>
      </c>
      <c r="C703">
        <v>2.21455</v>
      </c>
      <c r="D703">
        <f t="shared" si="206"/>
        <v>0.41026000000000007</v>
      </c>
      <c r="E703" s="1">
        <f t="shared" si="207"/>
        <v>0.18525659840599673</v>
      </c>
    </row>
    <row r="704" spans="1:21" x14ac:dyDescent="0.25">
      <c r="A704" t="s">
        <v>10</v>
      </c>
      <c r="B704">
        <v>2.74986</v>
      </c>
      <c r="C704">
        <v>2.2877900000000002</v>
      </c>
      <c r="D704">
        <f t="shared" si="206"/>
        <v>0.46206999999999976</v>
      </c>
      <c r="E704" s="1">
        <f t="shared" si="207"/>
        <v>0.2019722089877129</v>
      </c>
    </row>
    <row r="705" spans="1:25" x14ac:dyDescent="0.25">
      <c r="A705" t="s">
        <v>11</v>
      </c>
      <c r="B705">
        <v>8.6097599999999996</v>
      </c>
      <c r="C705">
        <v>5.2616800000000001</v>
      </c>
      <c r="D705">
        <f t="shared" si="206"/>
        <v>3.3480799999999995</v>
      </c>
      <c r="E705" s="1">
        <f t="shared" si="207"/>
        <v>0.63631387693664365</v>
      </c>
    </row>
    <row r="707" spans="1:25" x14ac:dyDescent="0.25">
      <c r="A707" s="6" t="s">
        <v>54</v>
      </c>
      <c r="B707" s="6"/>
    </row>
    <row r="709" spans="1:25" x14ac:dyDescent="0.25">
      <c r="A709" t="s">
        <v>1</v>
      </c>
      <c r="B709" t="s">
        <v>12</v>
      </c>
      <c r="C709" t="s">
        <v>13</v>
      </c>
      <c r="E709" t="s">
        <v>15</v>
      </c>
      <c r="I709" t="s">
        <v>16</v>
      </c>
      <c r="J709" t="s">
        <v>17</v>
      </c>
      <c r="K709" t="s">
        <v>18</v>
      </c>
      <c r="U709" s="1">
        <f t="shared" ref="U709:U718" si="208">J710</f>
        <v>6.342305815308022E-2</v>
      </c>
      <c r="W709" s="2">
        <f>O723</f>
        <v>3.7383187067160727E-2</v>
      </c>
      <c r="X709" s="2">
        <f>O724</f>
        <v>0.37334697142296003</v>
      </c>
      <c r="Y709" s="2">
        <f>O725</f>
        <v>8.5357521705574507E-2</v>
      </c>
    </row>
    <row r="710" spans="1:25" x14ac:dyDescent="0.25">
      <c r="A710" t="s">
        <v>2</v>
      </c>
      <c r="B710">
        <v>1.2028162807962599</v>
      </c>
      <c r="C710">
        <v>1.1310797443919201</v>
      </c>
      <c r="D710">
        <f t="shared" ref="D710:D719" si="209">B710-C710</f>
        <v>7.1736536404339857E-2</v>
      </c>
      <c r="E710" s="1">
        <f t="shared" ref="E710:E719" si="210">D710/C710</f>
        <v>6.342305815308022E-2</v>
      </c>
      <c r="I710" t="s">
        <v>2</v>
      </c>
      <c r="J710" s="1">
        <f t="shared" ref="J710:J719" si="211">E710</f>
        <v>6.342305815308022E-2</v>
      </c>
      <c r="K710" s="1">
        <f t="shared" ref="K710:K719" si="212">E723</f>
        <v>6.2572033105180183E-2</v>
      </c>
      <c r="U710" s="1">
        <f t="shared" si="208"/>
        <v>5.8878927308558648E-2</v>
      </c>
    </row>
    <row r="711" spans="1:25" x14ac:dyDescent="0.25">
      <c r="A711" t="s">
        <v>3</v>
      </c>
      <c r="B711">
        <v>1.2166484140332401</v>
      </c>
      <c r="C711">
        <v>1.1489967196964599</v>
      </c>
      <c r="D711">
        <f t="shared" si="209"/>
        <v>6.7651694336780199E-2</v>
      </c>
      <c r="E711" s="1">
        <f t="shared" si="210"/>
        <v>5.8878927308558648E-2</v>
      </c>
      <c r="I711" t="s">
        <v>3</v>
      </c>
      <c r="J711" s="1">
        <f t="shared" si="211"/>
        <v>5.8878927308558648E-2</v>
      </c>
      <c r="K711" s="1">
        <f t="shared" si="212"/>
        <v>6.381111814527142E-2</v>
      </c>
      <c r="U711" s="1">
        <f t="shared" si="208"/>
        <v>5.8448201928733817E-2</v>
      </c>
    </row>
    <row r="712" spans="1:25" x14ac:dyDescent="0.25">
      <c r="A712" t="s">
        <v>4</v>
      </c>
      <c r="B712">
        <v>1.22680632152947</v>
      </c>
      <c r="C712">
        <v>1.15906127413127</v>
      </c>
      <c r="D712">
        <f t="shared" si="209"/>
        <v>6.7745047398199976E-2</v>
      </c>
      <c r="E712" s="1">
        <f t="shared" si="210"/>
        <v>5.8448201928733817E-2</v>
      </c>
      <c r="I712" t="s">
        <v>4</v>
      </c>
      <c r="J712" s="1">
        <f t="shared" si="211"/>
        <v>5.8448201928733817E-2</v>
      </c>
      <c r="K712" s="1">
        <f t="shared" si="212"/>
        <v>6.5133463659238708E-2</v>
      </c>
      <c r="U712" s="1">
        <f t="shared" si="208"/>
        <v>5.3593267520364612E-2</v>
      </c>
    </row>
    <row r="713" spans="1:25" x14ac:dyDescent="0.25">
      <c r="A713" t="s">
        <v>5</v>
      </c>
      <c r="B713">
        <v>1.2325539051310599</v>
      </c>
      <c r="C713">
        <v>1.1698574232843</v>
      </c>
      <c r="D713">
        <f t="shared" si="209"/>
        <v>6.2696481846759911E-2</v>
      </c>
      <c r="E713" s="1">
        <f t="shared" si="210"/>
        <v>5.3593267520364612E-2</v>
      </c>
      <c r="I713" t="s">
        <v>5</v>
      </c>
      <c r="J713" s="1">
        <f t="shared" si="211"/>
        <v>5.3593267520364612E-2</v>
      </c>
      <c r="K713" s="1">
        <f t="shared" si="212"/>
        <v>5.485395423981948E-2</v>
      </c>
      <c r="U713" s="1">
        <f t="shared" si="208"/>
        <v>5.7107421191753778E-2</v>
      </c>
    </row>
    <row r="714" spans="1:25" x14ac:dyDescent="0.25">
      <c r="A714" t="s">
        <v>6</v>
      </c>
      <c r="B714">
        <v>1.23851283734068</v>
      </c>
      <c r="C714">
        <v>1.1716054702789001</v>
      </c>
      <c r="D714">
        <f t="shared" si="209"/>
        <v>6.690736706177991E-2</v>
      </c>
      <c r="E714" s="1">
        <f t="shared" si="210"/>
        <v>5.7107421191753778E-2</v>
      </c>
      <c r="I714" t="s">
        <v>6</v>
      </c>
      <c r="J714" s="1">
        <f t="shared" si="211"/>
        <v>5.7107421191753778E-2</v>
      </c>
      <c r="K714" s="1">
        <f t="shared" si="212"/>
        <v>5.9335171180373035E-2</v>
      </c>
      <c r="U714" s="1">
        <f t="shared" si="208"/>
        <v>6.3306833713619406E-2</v>
      </c>
    </row>
    <row r="715" spans="1:25" x14ac:dyDescent="0.25">
      <c r="A715" t="s">
        <v>7</v>
      </c>
      <c r="B715">
        <v>1.2514062761973499</v>
      </c>
      <c r="C715">
        <v>1.1769004359981301</v>
      </c>
      <c r="D715">
        <f t="shared" si="209"/>
        <v>7.4505840199219797E-2</v>
      </c>
      <c r="E715" s="1">
        <f t="shared" si="210"/>
        <v>6.3306833713619406E-2</v>
      </c>
      <c r="I715" t="s">
        <v>7</v>
      </c>
      <c r="J715" s="1">
        <f t="shared" si="211"/>
        <v>6.3306833713619406E-2</v>
      </c>
      <c r="K715" s="1">
        <f t="shared" si="212"/>
        <v>5.9406459067316564E-2</v>
      </c>
      <c r="U715" s="1">
        <f t="shared" si="208"/>
        <v>5.3950267576366132E-2</v>
      </c>
    </row>
    <row r="716" spans="1:25" x14ac:dyDescent="0.25">
      <c r="A716" t="s">
        <v>8</v>
      </c>
      <c r="B716">
        <v>1.2498655259181299</v>
      </c>
      <c r="C716">
        <v>1.18588662517472</v>
      </c>
      <c r="D716">
        <f t="shared" si="209"/>
        <v>6.397890074340995E-2</v>
      </c>
      <c r="E716" s="1">
        <f t="shared" si="210"/>
        <v>5.3950267576366132E-2</v>
      </c>
      <c r="I716" t="s">
        <v>8</v>
      </c>
      <c r="J716" s="1">
        <f t="shared" si="211"/>
        <v>5.3950267576366132E-2</v>
      </c>
      <c r="K716" s="1">
        <f t="shared" si="212"/>
        <v>5.5358715148590004E-2</v>
      </c>
      <c r="U716" s="1">
        <f t="shared" si="208"/>
        <v>4.5416187555116561E-2</v>
      </c>
    </row>
    <row r="717" spans="1:25" x14ac:dyDescent="0.25">
      <c r="A717" t="s">
        <v>9</v>
      </c>
      <c r="B717">
        <v>1.2870147684120601</v>
      </c>
      <c r="C717">
        <v>1.2311027739315601</v>
      </c>
      <c r="D717">
        <f t="shared" si="209"/>
        <v>5.5911994480499994E-2</v>
      </c>
      <c r="E717" s="1">
        <f t="shared" si="210"/>
        <v>4.5416187555116561E-2</v>
      </c>
      <c r="I717" t="s">
        <v>9</v>
      </c>
      <c r="J717" s="1">
        <f t="shared" si="211"/>
        <v>4.5416187555116561E-2</v>
      </c>
      <c r="K717" s="1">
        <f t="shared" si="212"/>
        <v>4.2762660108478193E-2</v>
      </c>
      <c r="U717" s="1">
        <f t="shared" si="208"/>
        <v>3.7383187067160727E-2</v>
      </c>
    </row>
    <row r="718" spans="1:25" x14ac:dyDescent="0.25">
      <c r="A718" t="s">
        <v>10</v>
      </c>
      <c r="B718">
        <v>1.3615978713619299</v>
      </c>
      <c r="C718">
        <v>1.31253126938694</v>
      </c>
      <c r="D718">
        <f t="shared" si="209"/>
        <v>4.906660197498991E-2</v>
      </c>
      <c r="E718" s="1">
        <f t="shared" si="210"/>
        <v>3.7383187067160727E-2</v>
      </c>
      <c r="I718" t="s">
        <v>10</v>
      </c>
      <c r="J718" s="1">
        <f t="shared" si="211"/>
        <v>3.7383187067160727E-2</v>
      </c>
      <c r="K718" s="1">
        <f t="shared" si="212"/>
        <v>3.8662342188055011E-2</v>
      </c>
      <c r="U718" s="1">
        <f t="shared" si="208"/>
        <v>0.37334697142296003</v>
      </c>
    </row>
    <row r="719" spans="1:25" x14ac:dyDescent="0.25">
      <c r="A719" t="s">
        <v>11</v>
      </c>
      <c r="B719">
        <v>2.7455299638680999</v>
      </c>
      <c r="C719">
        <v>1.9991524509085901</v>
      </c>
      <c r="D719">
        <f t="shared" si="209"/>
        <v>0.74637751295950983</v>
      </c>
      <c r="E719" s="1">
        <f t="shared" si="210"/>
        <v>0.37334697142296003</v>
      </c>
      <c r="I719" t="s">
        <v>11</v>
      </c>
      <c r="J719" s="1">
        <f t="shared" si="211"/>
        <v>0.37334697142296003</v>
      </c>
      <c r="K719" s="1">
        <f t="shared" si="212"/>
        <v>0.34040019383145376</v>
      </c>
      <c r="U719" s="1">
        <f t="shared" ref="U719:U728" si="213">K710</f>
        <v>6.2572033105180183E-2</v>
      </c>
    </row>
    <row r="720" spans="1:25" x14ac:dyDescent="0.25">
      <c r="U720" s="1">
        <f t="shared" si="213"/>
        <v>6.381111814527142E-2</v>
      </c>
    </row>
    <row r="721" spans="1:25" x14ac:dyDescent="0.25">
      <c r="U721" s="1">
        <f t="shared" si="213"/>
        <v>6.5133463659238708E-2</v>
      </c>
    </row>
    <row r="722" spans="1:25" x14ac:dyDescent="0.25">
      <c r="A722" t="s">
        <v>1</v>
      </c>
      <c r="B722" t="s">
        <v>14</v>
      </c>
      <c r="C722" t="s">
        <v>13</v>
      </c>
      <c r="I722" t="s">
        <v>19</v>
      </c>
      <c r="J722" s="2">
        <f>AVERAGE(J710:J719)</f>
        <v>8.6485432343771401E-2</v>
      </c>
      <c r="K722" s="2">
        <f>AVERAGE(K710:K719)</f>
        <v>8.4229611067377627E-2</v>
      </c>
      <c r="U722" s="1">
        <f t="shared" si="213"/>
        <v>5.485395423981948E-2</v>
      </c>
    </row>
    <row r="723" spans="1:25" x14ac:dyDescent="0.25">
      <c r="A723" t="s">
        <v>2</v>
      </c>
      <c r="B723">
        <v>1.20185370360261</v>
      </c>
      <c r="C723">
        <v>1.1310797443919201</v>
      </c>
      <c r="D723">
        <f t="shared" ref="D723:D732" si="214">B723-C723</f>
        <v>7.0773959210689963E-2</v>
      </c>
      <c r="E723" s="1">
        <f t="shared" ref="E723:E732" si="215">D723/C723</f>
        <v>6.2572033105180183E-2</v>
      </c>
      <c r="N723" t="s">
        <v>20</v>
      </c>
      <c r="O723" s="2">
        <f>MIN(U709:U728)</f>
        <v>3.7383187067160727E-2</v>
      </c>
      <c r="U723" s="1">
        <f t="shared" si="213"/>
        <v>5.9335171180373035E-2</v>
      </c>
    </row>
    <row r="724" spans="1:25" x14ac:dyDescent="0.25">
      <c r="A724" t="s">
        <v>3</v>
      </c>
      <c r="B724">
        <v>1.22231548512554</v>
      </c>
      <c r="C724">
        <v>1.1489967196964599</v>
      </c>
      <c r="D724">
        <f t="shared" si="214"/>
        <v>7.3318765429080113E-2</v>
      </c>
      <c r="E724" s="1">
        <f t="shared" si="215"/>
        <v>6.381111814527142E-2</v>
      </c>
      <c r="N724" t="s">
        <v>21</v>
      </c>
      <c r="O724" s="2">
        <f>MAX(U709:U728)</f>
        <v>0.37334697142296003</v>
      </c>
      <c r="U724" s="1">
        <f t="shared" si="213"/>
        <v>5.9406459067316564E-2</v>
      </c>
    </row>
    <row r="725" spans="1:25" x14ac:dyDescent="0.25">
      <c r="A725" t="s">
        <v>4</v>
      </c>
      <c r="B725">
        <v>1.23455494950873</v>
      </c>
      <c r="C725">
        <v>1.15906127413127</v>
      </c>
      <c r="D725">
        <f t="shared" si="214"/>
        <v>7.549367537745999E-2</v>
      </c>
      <c r="E725" s="1">
        <f t="shared" si="215"/>
        <v>6.5133463659238708E-2</v>
      </c>
      <c r="N725" t="s">
        <v>22</v>
      </c>
      <c r="O725" s="2">
        <f>AVERAGE(U709:U728)</f>
        <v>8.5357521705574507E-2</v>
      </c>
      <c r="U725" s="1">
        <f t="shared" si="213"/>
        <v>5.5358715148590004E-2</v>
      </c>
    </row>
    <row r="726" spans="1:25" x14ac:dyDescent="0.25">
      <c r="A726" t="s">
        <v>5</v>
      </c>
      <c r="B726">
        <v>1.2340287288482501</v>
      </c>
      <c r="C726">
        <v>1.1698574232843</v>
      </c>
      <c r="D726">
        <f t="shared" si="214"/>
        <v>6.4171305563950121E-2</v>
      </c>
      <c r="E726" s="1">
        <f t="shared" si="215"/>
        <v>5.485395423981948E-2</v>
      </c>
      <c r="U726" s="1">
        <f t="shared" si="213"/>
        <v>4.2762660108478193E-2</v>
      </c>
    </row>
    <row r="727" spans="1:25" x14ac:dyDescent="0.25">
      <c r="A727" t="s">
        <v>6</v>
      </c>
      <c r="B727">
        <v>1.24112288141376</v>
      </c>
      <c r="C727">
        <v>1.1716054702789001</v>
      </c>
      <c r="D727">
        <f t="shared" si="214"/>
        <v>6.9517411134859985E-2</v>
      </c>
      <c r="E727" s="1">
        <f t="shared" si="215"/>
        <v>5.9335171180373035E-2</v>
      </c>
      <c r="U727" s="1">
        <f t="shared" si="213"/>
        <v>3.8662342188055011E-2</v>
      </c>
    </row>
    <row r="728" spans="1:25" x14ac:dyDescent="0.25">
      <c r="A728" t="s">
        <v>7</v>
      </c>
      <c r="B728">
        <v>1.24681592357556</v>
      </c>
      <c r="C728">
        <v>1.1769004359981301</v>
      </c>
      <c r="D728">
        <f t="shared" si="214"/>
        <v>6.9915487577429936E-2</v>
      </c>
      <c r="E728" s="1">
        <f t="shared" si="215"/>
        <v>5.9406459067316564E-2</v>
      </c>
      <c r="U728" s="1">
        <f t="shared" si="213"/>
        <v>0.34040019383145376</v>
      </c>
    </row>
    <row r="729" spans="1:25" x14ac:dyDescent="0.25">
      <c r="A729" t="s">
        <v>8</v>
      </c>
      <c r="B729">
        <v>1.25153578505629</v>
      </c>
      <c r="C729">
        <v>1.18588662517472</v>
      </c>
      <c r="D729">
        <f t="shared" si="214"/>
        <v>6.5649159881570052E-2</v>
      </c>
      <c r="E729" s="1">
        <f t="shared" si="215"/>
        <v>5.5358715148590004E-2</v>
      </c>
    </row>
    <row r="730" spans="1:25" x14ac:dyDescent="0.25">
      <c r="A730" t="s">
        <v>9</v>
      </c>
      <c r="B730">
        <v>1.2837480034118001</v>
      </c>
      <c r="C730">
        <v>1.2311027739315601</v>
      </c>
      <c r="D730">
        <f t="shared" si="214"/>
        <v>5.2645229480239975E-2</v>
      </c>
      <c r="E730" s="1">
        <f t="shared" si="215"/>
        <v>4.2762660108478193E-2</v>
      </c>
    </row>
    <row r="731" spans="1:25" x14ac:dyDescent="0.25">
      <c r="A731" t="s">
        <v>10</v>
      </c>
      <c r="B731">
        <v>1.3632768024565001</v>
      </c>
      <c r="C731">
        <v>1.31253126938694</v>
      </c>
      <c r="D731">
        <f t="shared" si="214"/>
        <v>5.0745533069560089E-2</v>
      </c>
      <c r="E731" s="1">
        <f t="shared" si="215"/>
        <v>3.8662342188055011E-2</v>
      </c>
    </row>
    <row r="732" spans="1:25" x14ac:dyDescent="0.25">
      <c r="A732" t="s">
        <v>11</v>
      </c>
      <c r="B732">
        <v>2.6796643326965</v>
      </c>
      <c r="C732">
        <v>1.9991524509085901</v>
      </c>
      <c r="D732">
        <f t="shared" si="214"/>
        <v>0.68051188178790989</v>
      </c>
      <c r="E732" s="1">
        <f t="shared" si="215"/>
        <v>0.34040019383145376</v>
      </c>
    </row>
    <row r="734" spans="1:25" x14ac:dyDescent="0.25">
      <c r="A734" s="6" t="s">
        <v>55</v>
      </c>
      <c r="B734" s="6"/>
    </row>
    <row r="736" spans="1:25" x14ac:dyDescent="0.25">
      <c r="A736" t="s">
        <v>1</v>
      </c>
      <c r="B736" t="s">
        <v>12</v>
      </c>
      <c r="C736" t="s">
        <v>13</v>
      </c>
      <c r="E736" t="s">
        <v>15</v>
      </c>
      <c r="I736" t="s">
        <v>16</v>
      </c>
      <c r="J736" t="s">
        <v>17</v>
      </c>
      <c r="K736" t="s">
        <v>18</v>
      </c>
      <c r="U736" s="1">
        <f t="shared" ref="U736:U745" si="216">J737</f>
        <v>0.42008648983215124</v>
      </c>
      <c r="W736" s="2">
        <f>O750</f>
        <v>0.23192092394441738</v>
      </c>
      <c r="X736" s="2">
        <f>O751</f>
        <v>0.83786448024159144</v>
      </c>
      <c r="Y736" s="2">
        <f>O752</f>
        <v>0.40310957436148953</v>
      </c>
    </row>
    <row r="737" spans="1:21" x14ac:dyDescent="0.25">
      <c r="A737" t="s">
        <v>2</v>
      </c>
      <c r="B737">
        <v>3.4874200000000002</v>
      </c>
      <c r="C737">
        <v>2.4557799999999999</v>
      </c>
      <c r="D737">
        <f t="shared" ref="D737:D746" si="217">B737-C737</f>
        <v>1.0316400000000003</v>
      </c>
      <c r="E737" s="1">
        <f t="shared" ref="E737:E746" si="218">D737/C737</f>
        <v>0.42008648983215124</v>
      </c>
      <c r="I737" t="s">
        <v>2</v>
      </c>
      <c r="J737" s="1">
        <f t="shared" ref="J737:J746" si="219">E737</f>
        <v>0.42008648983215124</v>
      </c>
      <c r="K737" s="1">
        <f t="shared" ref="K737:K746" si="220">E750</f>
        <v>0.41825815016003076</v>
      </c>
      <c r="U737" s="1">
        <f t="shared" si="216"/>
        <v>0.35660763472820928</v>
      </c>
    </row>
    <row r="738" spans="1:21" x14ac:dyDescent="0.25">
      <c r="A738" t="s">
        <v>3</v>
      </c>
      <c r="B738">
        <v>3.4869699999999999</v>
      </c>
      <c r="C738">
        <v>2.57036</v>
      </c>
      <c r="D738">
        <f t="shared" si="217"/>
        <v>0.91660999999999992</v>
      </c>
      <c r="E738" s="1">
        <f t="shared" si="218"/>
        <v>0.35660763472820928</v>
      </c>
      <c r="I738" t="s">
        <v>3</v>
      </c>
      <c r="J738" s="1">
        <f t="shared" si="219"/>
        <v>0.35660763472820928</v>
      </c>
      <c r="K738" s="1">
        <f t="shared" si="220"/>
        <v>0.35693054669384833</v>
      </c>
      <c r="U738" s="1">
        <f t="shared" si="216"/>
        <v>0.39618484793664194</v>
      </c>
    </row>
    <row r="739" spans="1:21" x14ac:dyDescent="0.25">
      <c r="A739" t="s">
        <v>4</v>
      </c>
      <c r="B739">
        <v>3.4729399999999999</v>
      </c>
      <c r="C739">
        <v>2.4874499999999999</v>
      </c>
      <c r="D739">
        <f t="shared" si="217"/>
        <v>0.98548999999999998</v>
      </c>
      <c r="E739" s="1">
        <f t="shared" si="218"/>
        <v>0.39618484793664194</v>
      </c>
      <c r="I739" t="s">
        <v>4</v>
      </c>
      <c r="J739" s="1">
        <f t="shared" si="219"/>
        <v>0.39618484793664194</v>
      </c>
      <c r="K739" s="1">
        <f t="shared" si="220"/>
        <v>0.440250055277493</v>
      </c>
      <c r="U739" s="1">
        <f t="shared" si="216"/>
        <v>0.36006433111145564</v>
      </c>
    </row>
    <row r="740" spans="1:21" x14ac:dyDescent="0.25">
      <c r="A740" t="s">
        <v>5</v>
      </c>
      <c r="B740">
        <v>3.5095100000000001</v>
      </c>
      <c r="C740">
        <v>2.5804</v>
      </c>
      <c r="D740">
        <f t="shared" si="217"/>
        <v>0.9291100000000001</v>
      </c>
      <c r="E740" s="1">
        <f t="shared" si="218"/>
        <v>0.36006433111145564</v>
      </c>
      <c r="I740" t="s">
        <v>5</v>
      </c>
      <c r="J740" s="1">
        <f t="shared" si="219"/>
        <v>0.36006433111145564</v>
      </c>
      <c r="K740" s="1">
        <f t="shared" si="220"/>
        <v>0.35498759882188807</v>
      </c>
      <c r="U740" s="1">
        <f t="shared" si="216"/>
        <v>0.36599308854944013</v>
      </c>
    </row>
    <row r="741" spans="1:21" x14ac:dyDescent="0.25">
      <c r="A741" t="s">
        <v>6</v>
      </c>
      <c r="B741">
        <v>3.3954900000000001</v>
      </c>
      <c r="C741">
        <v>2.4857300000000002</v>
      </c>
      <c r="D741">
        <f t="shared" si="217"/>
        <v>0.9097599999999999</v>
      </c>
      <c r="E741" s="1">
        <f t="shared" si="218"/>
        <v>0.36599308854944013</v>
      </c>
      <c r="I741" t="s">
        <v>6</v>
      </c>
      <c r="J741" s="1">
        <f t="shared" si="219"/>
        <v>0.36599308854944013</v>
      </c>
      <c r="K741" s="1">
        <f t="shared" si="220"/>
        <v>0.38280505123243458</v>
      </c>
      <c r="U741" s="1">
        <f t="shared" si="216"/>
        <v>0.40195302921238113</v>
      </c>
    </row>
    <row r="742" spans="1:21" x14ac:dyDescent="0.25">
      <c r="A742" t="s">
        <v>7</v>
      </c>
      <c r="B742">
        <v>3.54467</v>
      </c>
      <c r="C742">
        <v>2.5283799999999998</v>
      </c>
      <c r="D742">
        <f t="shared" si="217"/>
        <v>1.0162900000000001</v>
      </c>
      <c r="E742" s="1">
        <f t="shared" si="218"/>
        <v>0.40195302921238113</v>
      </c>
      <c r="I742" t="s">
        <v>7</v>
      </c>
      <c r="J742" s="1">
        <f t="shared" si="219"/>
        <v>0.40195302921238113</v>
      </c>
      <c r="K742" s="1">
        <f t="shared" si="220"/>
        <v>0.33887311242772061</v>
      </c>
      <c r="U742" s="1">
        <f t="shared" si="216"/>
        <v>0.33708759772423558</v>
      </c>
    </row>
    <row r="743" spans="1:21" x14ac:dyDescent="0.25">
      <c r="A743" t="s">
        <v>8</v>
      </c>
      <c r="B743">
        <v>3.3418899999999998</v>
      </c>
      <c r="C743">
        <v>2.4993799999999999</v>
      </c>
      <c r="D743">
        <f t="shared" si="217"/>
        <v>0.84250999999999987</v>
      </c>
      <c r="E743" s="1">
        <f t="shared" si="218"/>
        <v>0.33708759772423558</v>
      </c>
      <c r="I743" t="s">
        <v>8</v>
      </c>
      <c r="J743" s="1">
        <f t="shared" si="219"/>
        <v>0.33708759772423558</v>
      </c>
      <c r="K743" s="1">
        <f t="shared" si="220"/>
        <v>0.37402075714777272</v>
      </c>
      <c r="U743" s="1">
        <f t="shared" si="216"/>
        <v>0.31356219926711915</v>
      </c>
    </row>
    <row r="744" spans="1:21" x14ac:dyDescent="0.25">
      <c r="A744" t="s">
        <v>9</v>
      </c>
      <c r="B744">
        <v>3.36599</v>
      </c>
      <c r="C744">
        <v>2.5624899999999999</v>
      </c>
      <c r="D744">
        <f t="shared" si="217"/>
        <v>0.8035000000000001</v>
      </c>
      <c r="E744" s="1">
        <f t="shared" si="218"/>
        <v>0.31356219926711915</v>
      </c>
      <c r="I744" t="s">
        <v>9</v>
      </c>
      <c r="J744" s="1">
        <f t="shared" si="219"/>
        <v>0.31356219926711915</v>
      </c>
      <c r="K744" s="1">
        <f t="shared" si="220"/>
        <v>0.29081479342358418</v>
      </c>
      <c r="U744" s="1">
        <f t="shared" si="216"/>
        <v>0.27591703569074227</v>
      </c>
    </row>
    <row r="745" spans="1:21" x14ac:dyDescent="0.25">
      <c r="A745" t="s">
        <v>10</v>
      </c>
      <c r="B745">
        <v>3.4258500000000001</v>
      </c>
      <c r="C745">
        <v>2.6850100000000001</v>
      </c>
      <c r="D745">
        <f t="shared" si="217"/>
        <v>0.74083999999999994</v>
      </c>
      <c r="E745" s="1">
        <f t="shared" si="218"/>
        <v>0.27591703569074227</v>
      </c>
      <c r="I745" t="s">
        <v>10</v>
      </c>
      <c r="J745" s="1">
        <f t="shared" si="219"/>
        <v>0.27591703569074227</v>
      </c>
      <c r="K745" s="1">
        <f t="shared" si="220"/>
        <v>0.23192092394441738</v>
      </c>
      <c r="U745" s="1">
        <f t="shared" si="216"/>
        <v>0.83786448024159144</v>
      </c>
    </row>
    <row r="746" spans="1:21" x14ac:dyDescent="0.25">
      <c r="A746" t="s">
        <v>11</v>
      </c>
      <c r="B746">
        <v>11.745699999999999</v>
      </c>
      <c r="C746">
        <v>6.3909500000000001</v>
      </c>
      <c r="D746">
        <f t="shared" si="217"/>
        <v>5.3547499999999992</v>
      </c>
      <c r="E746" s="1">
        <f t="shared" si="218"/>
        <v>0.83786448024159144</v>
      </c>
      <c r="I746" t="s">
        <v>11</v>
      </c>
      <c r="J746" s="1">
        <f t="shared" si="219"/>
        <v>0.83786448024159144</v>
      </c>
      <c r="K746" s="1">
        <f t="shared" si="220"/>
        <v>0.80800976380663281</v>
      </c>
      <c r="U746" s="1">
        <f t="shared" ref="U746:U755" si="221">K737</f>
        <v>0.41825815016003076</v>
      </c>
    </row>
    <row r="747" spans="1:21" x14ac:dyDescent="0.25">
      <c r="U747" s="1">
        <f t="shared" si="221"/>
        <v>0.35693054669384833</v>
      </c>
    </row>
    <row r="748" spans="1:21" x14ac:dyDescent="0.25">
      <c r="U748" s="1">
        <f t="shared" si="221"/>
        <v>0.440250055277493</v>
      </c>
    </row>
    <row r="749" spans="1:21" x14ac:dyDescent="0.25">
      <c r="A749" t="s">
        <v>1</v>
      </c>
      <c r="B749" t="s">
        <v>14</v>
      </c>
      <c r="C749" t="s">
        <v>13</v>
      </c>
      <c r="I749" t="s">
        <v>19</v>
      </c>
      <c r="J749" s="2">
        <f>AVERAGE(J737:J746)</f>
        <v>0.40653207342939679</v>
      </c>
      <c r="K749" s="2">
        <f>AVERAGE(K737:K746)</f>
        <v>0.39968707529358227</v>
      </c>
      <c r="U749" s="1">
        <f t="shared" si="221"/>
        <v>0.35498759882188807</v>
      </c>
    </row>
    <row r="750" spans="1:21" x14ac:dyDescent="0.25">
      <c r="A750" t="s">
        <v>2</v>
      </c>
      <c r="B750">
        <v>3.4829300000000001</v>
      </c>
      <c r="C750">
        <v>2.4557799999999999</v>
      </c>
      <c r="D750">
        <f t="shared" ref="D750:D759" si="222">B750-C750</f>
        <v>1.0271500000000002</v>
      </c>
      <c r="E750" s="1">
        <f t="shared" ref="E750:E759" si="223">D750/C750</f>
        <v>0.41825815016003076</v>
      </c>
      <c r="N750" t="s">
        <v>20</v>
      </c>
      <c r="O750" s="2">
        <f>MIN(U736:U755)</f>
        <v>0.23192092394441738</v>
      </c>
      <c r="U750" s="1">
        <f t="shared" si="221"/>
        <v>0.38280505123243458</v>
      </c>
    </row>
    <row r="751" spans="1:21" x14ac:dyDescent="0.25">
      <c r="A751" t="s">
        <v>3</v>
      </c>
      <c r="B751">
        <v>3.4878</v>
      </c>
      <c r="C751">
        <v>2.57036</v>
      </c>
      <c r="D751">
        <f t="shared" si="222"/>
        <v>0.91744000000000003</v>
      </c>
      <c r="E751" s="1">
        <f t="shared" si="223"/>
        <v>0.35693054669384833</v>
      </c>
      <c r="N751" t="s">
        <v>21</v>
      </c>
      <c r="O751" s="2">
        <f>MAX(U736:U755)</f>
        <v>0.83786448024159144</v>
      </c>
      <c r="U751" s="1">
        <f t="shared" si="221"/>
        <v>0.33887311242772061</v>
      </c>
    </row>
    <row r="752" spans="1:21" x14ac:dyDescent="0.25">
      <c r="A752" t="s">
        <v>4</v>
      </c>
      <c r="B752">
        <v>3.5825499999999999</v>
      </c>
      <c r="C752">
        <v>2.4874499999999999</v>
      </c>
      <c r="D752">
        <f t="shared" si="222"/>
        <v>1.0951</v>
      </c>
      <c r="E752" s="1">
        <f t="shared" si="223"/>
        <v>0.440250055277493</v>
      </c>
      <c r="N752" t="s">
        <v>22</v>
      </c>
      <c r="O752" s="2">
        <f>AVERAGE(U736:U755)</f>
        <v>0.40310957436148953</v>
      </c>
      <c r="U752" s="1">
        <f t="shared" si="221"/>
        <v>0.37402075714777272</v>
      </c>
    </row>
    <row r="753" spans="1:25" x14ac:dyDescent="0.25">
      <c r="A753" t="s">
        <v>5</v>
      </c>
      <c r="B753">
        <v>3.49641</v>
      </c>
      <c r="C753">
        <v>2.5804</v>
      </c>
      <c r="D753">
        <f t="shared" si="222"/>
        <v>0.91600999999999999</v>
      </c>
      <c r="E753" s="1">
        <f t="shared" si="223"/>
        <v>0.35498759882188807</v>
      </c>
      <c r="U753" s="1">
        <f t="shared" si="221"/>
        <v>0.29081479342358418</v>
      </c>
    </row>
    <row r="754" spans="1:25" x14ac:dyDescent="0.25">
      <c r="A754" t="s">
        <v>6</v>
      </c>
      <c r="B754">
        <v>3.4372799999999999</v>
      </c>
      <c r="C754">
        <v>2.4857300000000002</v>
      </c>
      <c r="D754">
        <f t="shared" si="222"/>
        <v>0.95154999999999967</v>
      </c>
      <c r="E754" s="1">
        <f t="shared" si="223"/>
        <v>0.38280505123243458</v>
      </c>
      <c r="U754" s="1">
        <f t="shared" si="221"/>
        <v>0.23192092394441738</v>
      </c>
    </row>
    <row r="755" spans="1:25" x14ac:dyDescent="0.25">
      <c r="A755" t="s">
        <v>7</v>
      </c>
      <c r="B755">
        <v>3.3851800000000001</v>
      </c>
      <c r="C755">
        <v>2.5283799999999998</v>
      </c>
      <c r="D755">
        <f t="shared" si="222"/>
        <v>0.85680000000000023</v>
      </c>
      <c r="E755" s="1">
        <f t="shared" si="223"/>
        <v>0.33887311242772061</v>
      </c>
      <c r="U755" s="1">
        <f t="shared" si="221"/>
        <v>0.80800976380663281</v>
      </c>
    </row>
    <row r="756" spans="1:25" x14ac:dyDescent="0.25">
      <c r="A756" t="s">
        <v>8</v>
      </c>
      <c r="B756">
        <v>3.4342000000000001</v>
      </c>
      <c r="C756">
        <v>2.4993799999999999</v>
      </c>
      <c r="D756">
        <f t="shared" si="222"/>
        <v>0.93482000000000021</v>
      </c>
      <c r="E756" s="1">
        <f t="shared" si="223"/>
        <v>0.37402075714777272</v>
      </c>
    </row>
    <row r="757" spans="1:25" x14ac:dyDescent="0.25">
      <c r="A757" t="s">
        <v>9</v>
      </c>
      <c r="B757">
        <v>3.3077000000000001</v>
      </c>
      <c r="C757">
        <v>2.5624899999999999</v>
      </c>
      <c r="D757">
        <f t="shared" si="222"/>
        <v>0.74521000000000015</v>
      </c>
      <c r="E757" s="1">
        <f t="shared" si="223"/>
        <v>0.29081479342358418</v>
      </c>
    </row>
    <row r="758" spans="1:25" x14ac:dyDescent="0.25">
      <c r="A758" t="s">
        <v>10</v>
      </c>
      <c r="B758">
        <v>3.3077200000000002</v>
      </c>
      <c r="C758">
        <v>2.6850100000000001</v>
      </c>
      <c r="D758">
        <f t="shared" si="222"/>
        <v>0.6227100000000001</v>
      </c>
      <c r="E758" s="1">
        <f t="shared" si="223"/>
        <v>0.23192092394441738</v>
      </c>
    </row>
    <row r="759" spans="1:25" x14ac:dyDescent="0.25">
      <c r="A759" t="s">
        <v>11</v>
      </c>
      <c r="B759">
        <v>11.5549</v>
      </c>
      <c r="C759">
        <v>6.3909500000000001</v>
      </c>
      <c r="D759">
        <f t="shared" si="222"/>
        <v>5.1639499999999998</v>
      </c>
      <c r="E759" s="1">
        <f t="shared" si="223"/>
        <v>0.80800976380663281</v>
      </c>
    </row>
    <row r="761" spans="1:25" x14ac:dyDescent="0.25">
      <c r="A761" s="6" t="s">
        <v>56</v>
      </c>
      <c r="B761" s="6"/>
    </row>
    <row r="763" spans="1:25" x14ac:dyDescent="0.25">
      <c r="A763" t="s">
        <v>1</v>
      </c>
      <c r="B763" t="s">
        <v>12</v>
      </c>
      <c r="C763" t="s">
        <v>13</v>
      </c>
      <c r="E763" t="s">
        <v>15</v>
      </c>
      <c r="I763" t="s">
        <v>16</v>
      </c>
      <c r="J763" t="s">
        <v>17</v>
      </c>
      <c r="K763" t="s">
        <v>18</v>
      </c>
      <c r="U763" s="1">
        <f t="shared" ref="U763:U772" si="224">J764</f>
        <v>0.13081424501508743</v>
      </c>
      <c r="W763" s="2">
        <f>O777</f>
        <v>7.4853464503113573E-2</v>
      </c>
      <c r="X763" s="2">
        <f>O778</f>
        <v>0.49251439474729064</v>
      </c>
      <c r="Y763" s="2">
        <f>O779</f>
        <v>0.15207540256054586</v>
      </c>
    </row>
    <row r="764" spans="1:25" x14ac:dyDescent="0.25">
      <c r="A764" t="s">
        <v>2</v>
      </c>
      <c r="B764">
        <v>1.37521786868092</v>
      </c>
      <c r="C764">
        <v>1.2161306551833999</v>
      </c>
      <c r="D764">
        <f t="shared" ref="D764:D773" si="225">B764-C764</f>
        <v>0.15908721349752009</v>
      </c>
      <c r="E764" s="1">
        <f t="shared" ref="E764:E773" si="226">D764/C764</f>
        <v>0.13081424501508743</v>
      </c>
      <c r="I764" t="s">
        <v>2</v>
      </c>
      <c r="J764" s="1">
        <f t="shared" ref="J764:J773" si="227">E764</f>
        <v>0.13081424501508743</v>
      </c>
      <c r="K764" s="1">
        <f t="shared" ref="K764:K773" si="228">E777</f>
        <v>0.1324556795224669</v>
      </c>
      <c r="U764" s="1">
        <f t="shared" si="224"/>
        <v>0.13218120023295213</v>
      </c>
    </row>
    <row r="765" spans="1:25" x14ac:dyDescent="0.25">
      <c r="A765" t="s">
        <v>3</v>
      </c>
      <c r="B765">
        <v>1.39664605323392</v>
      </c>
      <c r="C765">
        <v>1.23358880446571</v>
      </c>
      <c r="D765">
        <f t="shared" si="225"/>
        <v>0.16305724876821004</v>
      </c>
      <c r="E765" s="1">
        <f t="shared" si="226"/>
        <v>0.13218120023295213</v>
      </c>
      <c r="I765" t="s">
        <v>3</v>
      </c>
      <c r="J765" s="1">
        <f t="shared" si="227"/>
        <v>0.13218120023295213</v>
      </c>
      <c r="K765" s="1">
        <f t="shared" si="228"/>
        <v>0.12262929620741791</v>
      </c>
      <c r="U765" s="1">
        <f t="shared" si="224"/>
        <v>0.11600510799511264</v>
      </c>
    </row>
    <row r="766" spans="1:25" x14ac:dyDescent="0.25">
      <c r="A766" t="s">
        <v>4</v>
      </c>
      <c r="B766">
        <v>1.3884522034009099</v>
      </c>
      <c r="C766">
        <v>1.2441271043062201</v>
      </c>
      <c r="D766">
        <f t="shared" si="225"/>
        <v>0.14432509909468982</v>
      </c>
      <c r="E766" s="1">
        <f t="shared" si="226"/>
        <v>0.11600510799511264</v>
      </c>
      <c r="I766" t="s">
        <v>4</v>
      </c>
      <c r="J766" s="1">
        <f t="shared" si="227"/>
        <v>0.11600510799511264</v>
      </c>
      <c r="K766" s="1">
        <f t="shared" si="228"/>
        <v>0.1338085306896786</v>
      </c>
      <c r="U766" s="1">
        <f t="shared" si="224"/>
        <v>0.1272907159109761</v>
      </c>
    </row>
    <row r="767" spans="1:25" x14ac:dyDescent="0.25">
      <c r="A767" t="s">
        <v>5</v>
      </c>
      <c r="B767">
        <v>1.4199589765221401</v>
      </c>
      <c r="C767">
        <v>1.2596209269537499</v>
      </c>
      <c r="D767">
        <f t="shared" si="225"/>
        <v>0.16033804956839015</v>
      </c>
      <c r="E767" s="1">
        <f t="shared" si="226"/>
        <v>0.1272907159109761</v>
      </c>
      <c r="I767" t="s">
        <v>5</v>
      </c>
      <c r="J767" s="1">
        <f t="shared" si="227"/>
        <v>0.1272907159109761</v>
      </c>
      <c r="K767" s="1">
        <f t="shared" si="228"/>
        <v>0.11711431744629683</v>
      </c>
      <c r="U767" s="1">
        <f t="shared" si="224"/>
        <v>0.11385346991022111</v>
      </c>
    </row>
    <row r="768" spans="1:25" x14ac:dyDescent="0.25">
      <c r="A768" t="s">
        <v>6</v>
      </c>
      <c r="B768">
        <v>1.4172444346347499</v>
      </c>
      <c r="C768">
        <v>1.27237960191387</v>
      </c>
      <c r="D768">
        <f t="shared" si="225"/>
        <v>0.14486483272087991</v>
      </c>
      <c r="E768" s="1">
        <f t="shared" si="226"/>
        <v>0.11385346991022111</v>
      </c>
      <c r="I768" t="s">
        <v>6</v>
      </c>
      <c r="J768" s="1">
        <f t="shared" si="227"/>
        <v>0.11385346991022111</v>
      </c>
      <c r="K768" s="1">
        <f t="shared" si="228"/>
        <v>0.11709114192153253</v>
      </c>
      <c r="U768" s="1">
        <f t="shared" si="224"/>
        <v>0.12024134864221245</v>
      </c>
    </row>
    <row r="769" spans="1:21" x14ac:dyDescent="0.25">
      <c r="A769" t="s">
        <v>7</v>
      </c>
      <c r="B769">
        <v>1.4323112334052599</v>
      </c>
      <c r="C769">
        <v>1.2785737958532699</v>
      </c>
      <c r="D769">
        <f t="shared" si="225"/>
        <v>0.15373743755198999</v>
      </c>
      <c r="E769" s="1">
        <f t="shared" si="226"/>
        <v>0.12024134864221245</v>
      </c>
      <c r="I769" t="s">
        <v>7</v>
      </c>
      <c r="J769" s="1">
        <f t="shared" si="227"/>
        <v>0.12024134864221245</v>
      </c>
      <c r="K769" s="1">
        <f t="shared" si="228"/>
        <v>0.11491862786280824</v>
      </c>
      <c r="U769" s="1">
        <f t="shared" si="224"/>
        <v>0.11083240212887834</v>
      </c>
    </row>
    <row r="770" spans="1:21" x14ac:dyDescent="0.25">
      <c r="A770" t="s">
        <v>8</v>
      </c>
      <c r="B770">
        <v>1.43020225099732</v>
      </c>
      <c r="C770">
        <v>1.2875049811802199</v>
      </c>
      <c r="D770">
        <f t="shared" si="225"/>
        <v>0.14269726981710007</v>
      </c>
      <c r="E770" s="1">
        <f t="shared" si="226"/>
        <v>0.11083240212887834</v>
      </c>
      <c r="I770" t="s">
        <v>8</v>
      </c>
      <c r="J770" s="1">
        <f t="shared" si="227"/>
        <v>0.11083240212887834</v>
      </c>
      <c r="K770" s="1">
        <f t="shared" si="228"/>
        <v>0.12113372779233494</v>
      </c>
      <c r="U770" s="1">
        <f t="shared" si="224"/>
        <v>0.100499620453273</v>
      </c>
    </row>
    <row r="771" spans="1:21" x14ac:dyDescent="0.25">
      <c r="A771" t="s">
        <v>9</v>
      </c>
      <c r="B771">
        <v>1.4800466350555901</v>
      </c>
      <c r="C771">
        <v>1.34488609314194</v>
      </c>
      <c r="D771">
        <f t="shared" si="225"/>
        <v>0.13516054191365012</v>
      </c>
      <c r="E771" s="1">
        <f t="shared" si="226"/>
        <v>0.100499620453273</v>
      </c>
      <c r="I771" t="s">
        <v>9</v>
      </c>
      <c r="J771" s="1">
        <f t="shared" si="227"/>
        <v>0.100499620453273</v>
      </c>
      <c r="K771" s="1">
        <f t="shared" si="228"/>
        <v>0.10371369615612409</v>
      </c>
      <c r="U771" s="1">
        <f t="shared" si="224"/>
        <v>8.4155484987529963E-2</v>
      </c>
    </row>
    <row r="772" spans="1:21" x14ac:dyDescent="0.25">
      <c r="A772" t="s">
        <v>10</v>
      </c>
      <c r="B772">
        <v>1.5628782290236101</v>
      </c>
      <c r="C772">
        <v>1.4415628114832499</v>
      </c>
      <c r="D772">
        <f t="shared" si="225"/>
        <v>0.12131541754036013</v>
      </c>
      <c r="E772" s="1">
        <f t="shared" si="226"/>
        <v>8.4155484987529963E-2</v>
      </c>
      <c r="I772" t="s">
        <v>10</v>
      </c>
      <c r="J772" s="1">
        <f t="shared" si="227"/>
        <v>8.4155484987529963E-2</v>
      </c>
      <c r="K772" s="1">
        <f t="shared" si="228"/>
        <v>7.4853464503113573E-2</v>
      </c>
      <c r="U772" s="1">
        <f t="shared" si="224"/>
        <v>0.47540157908560982</v>
      </c>
    </row>
    <row r="773" spans="1:21" x14ac:dyDescent="0.25">
      <c r="A773" t="s">
        <v>11</v>
      </c>
      <c r="B773">
        <v>3.6657318213327899</v>
      </c>
      <c r="C773">
        <v>2.4845654724082999</v>
      </c>
      <c r="D773">
        <f t="shared" si="225"/>
        <v>1.1811663489244899</v>
      </c>
      <c r="E773" s="1">
        <f t="shared" si="226"/>
        <v>0.47540157908560982</v>
      </c>
      <c r="I773" t="s">
        <v>11</v>
      </c>
      <c r="J773" s="1">
        <f t="shared" si="227"/>
        <v>0.47540157908560982</v>
      </c>
      <c r="K773" s="1">
        <f t="shared" si="228"/>
        <v>0.49251439474729064</v>
      </c>
      <c r="U773" s="1">
        <f t="shared" ref="U773:U782" si="229">K764</f>
        <v>0.1324556795224669</v>
      </c>
    </row>
    <row r="774" spans="1:21" x14ac:dyDescent="0.25">
      <c r="U774" s="1">
        <f t="shared" si="229"/>
        <v>0.12262929620741791</v>
      </c>
    </row>
    <row r="775" spans="1:21" x14ac:dyDescent="0.25">
      <c r="U775" s="1">
        <f t="shared" si="229"/>
        <v>0.1338085306896786</v>
      </c>
    </row>
    <row r="776" spans="1:21" x14ac:dyDescent="0.25">
      <c r="A776" t="s">
        <v>1</v>
      </c>
      <c r="B776" t="s">
        <v>14</v>
      </c>
      <c r="C776" t="s">
        <v>13</v>
      </c>
      <c r="I776" t="s">
        <v>19</v>
      </c>
      <c r="J776" s="2">
        <f>AVERAGE(J764:J773)</f>
        <v>0.1511275174361853</v>
      </c>
      <c r="K776" s="2">
        <f>AVERAGE(K764:K773)</f>
        <v>0.15302328768490642</v>
      </c>
      <c r="U776" s="1">
        <f t="shared" si="229"/>
        <v>0.11711431744629683</v>
      </c>
    </row>
    <row r="777" spans="1:21" x14ac:dyDescent="0.25">
      <c r="A777" t="s">
        <v>2</v>
      </c>
      <c r="B777">
        <v>1.37721406750382</v>
      </c>
      <c r="C777">
        <v>1.2161306551833999</v>
      </c>
      <c r="D777">
        <f t="shared" ref="D777:D786" si="230">B777-C777</f>
        <v>0.16108341232042012</v>
      </c>
      <c r="E777" s="1">
        <f t="shared" ref="E777:E786" si="231">D777/C777</f>
        <v>0.1324556795224669</v>
      </c>
      <c r="N777" t="s">
        <v>20</v>
      </c>
      <c r="O777" s="2">
        <f>MIN(U763:U782)</f>
        <v>7.4853464503113573E-2</v>
      </c>
      <c r="U777" s="1">
        <f t="shared" si="229"/>
        <v>0.11709114192153253</v>
      </c>
    </row>
    <row r="778" spans="1:21" x14ac:dyDescent="0.25">
      <c r="A778" t="s">
        <v>3</v>
      </c>
      <c r="B778">
        <v>1.38486293136669</v>
      </c>
      <c r="C778">
        <v>1.23358880446571</v>
      </c>
      <c r="D778">
        <f t="shared" si="230"/>
        <v>0.15127412690098008</v>
      </c>
      <c r="E778" s="1">
        <f t="shared" si="231"/>
        <v>0.12262929620741791</v>
      </c>
      <c r="N778" t="s">
        <v>21</v>
      </c>
      <c r="O778" s="2">
        <f>MAX(U763:U782)</f>
        <v>0.49251439474729064</v>
      </c>
      <c r="U778" s="1">
        <f t="shared" si="229"/>
        <v>0.11491862786280824</v>
      </c>
    </row>
    <row r="779" spans="1:21" x14ac:dyDescent="0.25">
      <c r="A779" t="s">
        <v>4</v>
      </c>
      <c r="B779">
        <v>1.4106019241246399</v>
      </c>
      <c r="C779">
        <v>1.2441271043062201</v>
      </c>
      <c r="D779">
        <f t="shared" si="230"/>
        <v>0.16647481981841983</v>
      </c>
      <c r="E779" s="1">
        <f t="shared" si="231"/>
        <v>0.1338085306896786</v>
      </c>
      <c r="N779" t="s">
        <v>22</v>
      </c>
      <c r="O779" s="2">
        <f>AVERAGE(U763:U782)</f>
        <v>0.15207540256054586</v>
      </c>
      <c r="U779" s="1">
        <f t="shared" si="229"/>
        <v>0.12113372779233494</v>
      </c>
    </row>
    <row r="780" spans="1:21" x14ac:dyDescent="0.25">
      <c r="A780" t="s">
        <v>5</v>
      </c>
      <c r="B780">
        <v>1.4071405720550101</v>
      </c>
      <c r="C780">
        <v>1.2596209269537499</v>
      </c>
      <c r="D780">
        <f t="shared" si="230"/>
        <v>0.14751964510126014</v>
      </c>
      <c r="E780" s="1">
        <f t="shared" si="231"/>
        <v>0.11711431744629683</v>
      </c>
      <c r="U780" s="1">
        <f t="shared" si="229"/>
        <v>0.10371369615612409</v>
      </c>
    </row>
    <row r="781" spans="1:21" x14ac:dyDescent="0.25">
      <c r="A781" t="s">
        <v>6</v>
      </c>
      <c r="B781">
        <v>1.42136398245963</v>
      </c>
      <c r="C781">
        <v>1.27237960191387</v>
      </c>
      <c r="D781">
        <f t="shared" si="230"/>
        <v>0.14898438054576002</v>
      </c>
      <c r="E781" s="1">
        <f t="shared" si="231"/>
        <v>0.11709114192153253</v>
      </c>
      <c r="U781" s="1">
        <f t="shared" si="229"/>
        <v>7.4853464503113573E-2</v>
      </c>
    </row>
    <row r="782" spans="1:21" x14ac:dyDescent="0.25">
      <c r="A782" t="s">
        <v>7</v>
      </c>
      <c r="B782">
        <v>1.42550574209407</v>
      </c>
      <c r="C782">
        <v>1.2785737958532699</v>
      </c>
      <c r="D782">
        <f t="shared" si="230"/>
        <v>0.14693194624080008</v>
      </c>
      <c r="E782" s="1">
        <f t="shared" si="231"/>
        <v>0.11491862786280824</v>
      </c>
      <c r="U782" s="1">
        <f t="shared" si="229"/>
        <v>0.49251439474729064</v>
      </c>
    </row>
    <row r="783" spans="1:21" x14ac:dyDescent="0.25">
      <c r="A783" t="s">
        <v>8</v>
      </c>
      <c r="B783">
        <v>1.44346525910178</v>
      </c>
      <c r="C783">
        <v>1.2875049811802199</v>
      </c>
      <c r="D783">
        <f t="shared" si="230"/>
        <v>0.15596027792156009</v>
      </c>
      <c r="E783" s="1">
        <f t="shared" si="231"/>
        <v>0.12113372779233494</v>
      </c>
    </row>
    <row r="784" spans="1:21" x14ac:dyDescent="0.25">
      <c r="A784" t="s">
        <v>9</v>
      </c>
      <c r="B784">
        <v>1.4843692007706599</v>
      </c>
      <c r="C784">
        <v>1.34488609314194</v>
      </c>
      <c r="D784">
        <f t="shared" si="230"/>
        <v>0.13948310762871996</v>
      </c>
      <c r="E784" s="1">
        <f t="shared" si="231"/>
        <v>0.10371369615612409</v>
      </c>
    </row>
    <row r="785" spans="1:25" x14ac:dyDescent="0.25">
      <c r="A785" t="s">
        <v>10</v>
      </c>
      <c r="B785">
        <v>1.54946878222162</v>
      </c>
      <c r="C785">
        <v>1.4415628114832499</v>
      </c>
      <c r="D785">
        <f t="shared" si="230"/>
        <v>0.10790597073837005</v>
      </c>
      <c r="E785" s="1">
        <f t="shared" si="231"/>
        <v>7.4853464503113573E-2</v>
      </c>
    </row>
    <row r="786" spans="1:25" x14ac:dyDescent="0.25">
      <c r="A786" t="s">
        <v>11</v>
      </c>
      <c r="B786">
        <v>3.70824973226149</v>
      </c>
      <c r="C786">
        <v>2.4845654724082999</v>
      </c>
      <c r="D786">
        <f t="shared" si="230"/>
        <v>1.2236842598531901</v>
      </c>
      <c r="E786" s="1">
        <f t="shared" si="231"/>
        <v>0.49251439474729064</v>
      </c>
    </row>
    <row r="788" spans="1:25" x14ac:dyDescent="0.25">
      <c r="A788" s="6" t="s">
        <v>57</v>
      </c>
      <c r="B788" s="6"/>
    </row>
    <row r="790" spans="1:25" x14ac:dyDescent="0.25">
      <c r="A790" t="s">
        <v>1</v>
      </c>
      <c r="B790" t="s">
        <v>12</v>
      </c>
      <c r="C790" t="s">
        <v>13</v>
      </c>
      <c r="E790" t="s">
        <v>15</v>
      </c>
      <c r="I790" t="s">
        <v>16</v>
      </c>
      <c r="J790" t="s">
        <v>17</v>
      </c>
      <c r="K790" t="s">
        <v>18</v>
      </c>
      <c r="U790" s="1">
        <f t="shared" ref="U790:U799" si="232">J791</f>
        <v>0.63396566071701521</v>
      </c>
      <c r="W790" s="2">
        <f>O804</f>
        <v>0.43666674237434427</v>
      </c>
      <c r="X790" s="2">
        <f>O805</f>
        <v>1.1528144272380463</v>
      </c>
      <c r="Y790" s="2">
        <f>O806</f>
        <v>0.63560690146389764</v>
      </c>
    </row>
    <row r="791" spans="1:25" x14ac:dyDescent="0.25">
      <c r="A791" t="s">
        <v>2</v>
      </c>
      <c r="B791">
        <v>4.8106400000000002</v>
      </c>
      <c r="C791">
        <v>2.94415</v>
      </c>
      <c r="D791">
        <f t="shared" ref="D791:D800" si="233">B791-C791</f>
        <v>1.8664900000000002</v>
      </c>
      <c r="E791" s="1">
        <f t="shared" ref="E791:E800" si="234">D791/C791</f>
        <v>0.63396566071701521</v>
      </c>
      <c r="I791" t="s">
        <v>2</v>
      </c>
      <c r="J791" s="1">
        <f t="shared" ref="J791:J800" si="235">E791</f>
        <v>0.63396566071701521</v>
      </c>
      <c r="K791" s="1">
        <f t="shared" ref="K791:K800" si="236">E804</f>
        <v>0.67607289030789874</v>
      </c>
      <c r="U791" s="1">
        <f t="shared" si="232"/>
        <v>0.56820196185828808</v>
      </c>
    </row>
    <row r="792" spans="1:25" x14ac:dyDescent="0.25">
      <c r="A792" t="s">
        <v>3</v>
      </c>
      <c r="B792">
        <v>4.7241299999999997</v>
      </c>
      <c r="C792">
        <v>3.0124499999999999</v>
      </c>
      <c r="D792">
        <f t="shared" si="233"/>
        <v>1.7116799999999999</v>
      </c>
      <c r="E792" s="1">
        <f t="shared" si="234"/>
        <v>0.56820196185828808</v>
      </c>
      <c r="I792" t="s">
        <v>3</v>
      </c>
      <c r="J792" s="1">
        <f t="shared" si="235"/>
        <v>0.56820196185828808</v>
      </c>
      <c r="K792" s="1">
        <f t="shared" si="236"/>
        <v>0.57429334926720765</v>
      </c>
      <c r="U792" s="1">
        <f t="shared" si="232"/>
        <v>0.57160538147255402</v>
      </c>
    </row>
    <row r="793" spans="1:25" x14ac:dyDescent="0.25">
      <c r="A793" t="s">
        <v>4</v>
      </c>
      <c r="B793">
        <v>4.5967099999999999</v>
      </c>
      <c r="C793">
        <v>2.9248500000000002</v>
      </c>
      <c r="D793">
        <f t="shared" si="233"/>
        <v>1.6718599999999997</v>
      </c>
      <c r="E793" s="1">
        <f t="shared" si="234"/>
        <v>0.57160538147255402</v>
      </c>
      <c r="I793" t="s">
        <v>4</v>
      </c>
      <c r="J793" s="1">
        <f t="shared" si="235"/>
        <v>0.57160538147255402</v>
      </c>
      <c r="K793" s="1">
        <f t="shared" si="236"/>
        <v>0.71859069695881839</v>
      </c>
      <c r="U793" s="1">
        <f t="shared" si="232"/>
        <v>0.60367432371215135</v>
      </c>
    </row>
    <row r="794" spans="1:25" x14ac:dyDescent="0.25">
      <c r="A794" t="s">
        <v>5</v>
      </c>
      <c r="B794">
        <v>4.8498799999999997</v>
      </c>
      <c r="C794">
        <v>3.0242300000000002</v>
      </c>
      <c r="D794">
        <f t="shared" si="233"/>
        <v>1.8256499999999996</v>
      </c>
      <c r="E794" s="1">
        <f t="shared" si="234"/>
        <v>0.60367432371215135</v>
      </c>
      <c r="I794" t="s">
        <v>5</v>
      </c>
      <c r="J794" s="1">
        <f t="shared" si="235"/>
        <v>0.60367432371215135</v>
      </c>
      <c r="K794" s="1">
        <f t="shared" si="236"/>
        <v>0.60251700432837441</v>
      </c>
      <c r="U794" s="1">
        <f t="shared" si="232"/>
        <v>0.52119288043173684</v>
      </c>
    </row>
    <row r="795" spans="1:25" x14ac:dyDescent="0.25">
      <c r="A795" t="s">
        <v>6</v>
      </c>
      <c r="B795">
        <v>4.6142799999999999</v>
      </c>
      <c r="C795">
        <v>3.0333299999999999</v>
      </c>
      <c r="D795">
        <f t="shared" si="233"/>
        <v>1.5809500000000001</v>
      </c>
      <c r="E795" s="1">
        <f t="shared" si="234"/>
        <v>0.52119288043173684</v>
      </c>
      <c r="I795" t="s">
        <v>6</v>
      </c>
      <c r="J795" s="1">
        <f t="shared" si="235"/>
        <v>0.52119288043173684</v>
      </c>
      <c r="K795" s="1">
        <f t="shared" si="236"/>
        <v>0.65230291461858769</v>
      </c>
      <c r="U795" s="1">
        <f t="shared" si="232"/>
        <v>0.58652857303989536</v>
      </c>
    </row>
    <row r="796" spans="1:25" x14ac:dyDescent="0.25">
      <c r="A796" t="s">
        <v>7</v>
      </c>
      <c r="B796">
        <v>4.7824</v>
      </c>
      <c r="C796">
        <v>3.0143800000000001</v>
      </c>
      <c r="D796">
        <f t="shared" si="233"/>
        <v>1.7680199999999999</v>
      </c>
      <c r="E796" s="1">
        <f t="shared" si="234"/>
        <v>0.58652857303989536</v>
      </c>
      <c r="I796" t="s">
        <v>7</v>
      </c>
      <c r="J796" s="1">
        <f t="shared" si="235"/>
        <v>0.58652857303989536</v>
      </c>
      <c r="K796" s="1">
        <f t="shared" si="236"/>
        <v>0.60406119998142249</v>
      </c>
      <c r="U796" s="1">
        <f t="shared" si="232"/>
        <v>0.60824703916887057</v>
      </c>
    </row>
    <row r="797" spans="1:25" x14ac:dyDescent="0.25">
      <c r="A797" t="s">
        <v>8</v>
      </c>
      <c r="B797">
        <v>4.75549</v>
      </c>
      <c r="C797">
        <v>2.9569399999999999</v>
      </c>
      <c r="D797">
        <f t="shared" si="233"/>
        <v>1.7985500000000001</v>
      </c>
      <c r="E797" s="1">
        <f t="shared" si="234"/>
        <v>0.60824703916887057</v>
      </c>
      <c r="I797" t="s">
        <v>8</v>
      </c>
      <c r="J797" s="1">
        <f t="shared" si="235"/>
        <v>0.60824703916887057</v>
      </c>
      <c r="K797" s="1">
        <f t="shared" si="236"/>
        <v>0.67185671674095515</v>
      </c>
      <c r="U797" s="1">
        <f t="shared" si="232"/>
        <v>0.49728460344166781</v>
      </c>
    </row>
    <row r="798" spans="1:25" x14ac:dyDescent="0.25">
      <c r="A798" t="s">
        <v>9</v>
      </c>
      <c r="B798">
        <v>4.60975</v>
      </c>
      <c r="C798">
        <v>3.0787399999999998</v>
      </c>
      <c r="D798">
        <f t="shared" si="233"/>
        <v>1.5310100000000002</v>
      </c>
      <c r="E798" s="1">
        <f t="shared" si="234"/>
        <v>0.49728460344166781</v>
      </c>
      <c r="I798" t="s">
        <v>9</v>
      </c>
      <c r="J798" s="1">
        <f t="shared" si="235"/>
        <v>0.49728460344166781</v>
      </c>
      <c r="K798" s="1">
        <f t="shared" si="236"/>
        <v>0.54701273897763392</v>
      </c>
      <c r="U798" s="1">
        <f t="shared" si="232"/>
        <v>0.43666674237434427</v>
      </c>
    </row>
    <row r="799" spans="1:25" x14ac:dyDescent="0.25">
      <c r="A799" t="s">
        <v>10</v>
      </c>
      <c r="B799">
        <v>4.4278500000000003</v>
      </c>
      <c r="C799">
        <v>3.08203</v>
      </c>
      <c r="D799">
        <f t="shared" si="233"/>
        <v>1.3458200000000002</v>
      </c>
      <c r="E799" s="1">
        <f t="shared" si="234"/>
        <v>0.43666674237434427</v>
      </c>
      <c r="I799" t="s">
        <v>10</v>
      </c>
      <c r="J799" s="1">
        <f t="shared" si="235"/>
        <v>0.43666674237434427</v>
      </c>
      <c r="K799" s="1">
        <f t="shared" si="236"/>
        <v>0.4367283900546069</v>
      </c>
      <c r="U799" s="1">
        <f t="shared" si="232"/>
        <v>1.0485205345878759</v>
      </c>
    </row>
    <row r="800" spans="1:25" x14ac:dyDescent="0.25">
      <c r="A800" t="s">
        <v>11</v>
      </c>
      <c r="B800">
        <v>16.302700000000002</v>
      </c>
      <c r="C800">
        <v>7.9582800000000002</v>
      </c>
      <c r="D800">
        <f t="shared" si="233"/>
        <v>8.3444200000000013</v>
      </c>
      <c r="E800" s="1">
        <f t="shared" si="234"/>
        <v>1.0485205345878759</v>
      </c>
      <c r="I800" t="s">
        <v>11</v>
      </c>
      <c r="J800" s="1">
        <f t="shared" si="235"/>
        <v>1.0485205345878759</v>
      </c>
      <c r="K800" s="1">
        <f t="shared" si="236"/>
        <v>1.1528144272380463</v>
      </c>
      <c r="U800" s="1">
        <f t="shared" ref="U800:U809" si="237">K791</f>
        <v>0.67607289030789874</v>
      </c>
    </row>
    <row r="801" spans="1:21" x14ac:dyDescent="0.25">
      <c r="U801" s="1">
        <f t="shared" si="237"/>
        <v>0.57429334926720765</v>
      </c>
    </row>
    <row r="802" spans="1:21" x14ac:dyDescent="0.25">
      <c r="U802" s="1">
        <f t="shared" si="237"/>
        <v>0.71859069695881839</v>
      </c>
    </row>
    <row r="803" spans="1:21" x14ac:dyDescent="0.25">
      <c r="A803" t="s">
        <v>1</v>
      </c>
      <c r="B803" t="s">
        <v>14</v>
      </c>
      <c r="C803" t="s">
        <v>13</v>
      </c>
      <c r="I803" t="s">
        <v>19</v>
      </c>
      <c r="J803" s="2">
        <f>AVERAGE(J791:J800)</f>
        <v>0.60758877008043988</v>
      </c>
      <c r="K803" s="2">
        <f>AVERAGE(K791:K800)</f>
        <v>0.66362503284735519</v>
      </c>
      <c r="U803" s="1">
        <f t="shared" si="237"/>
        <v>0.60251700432837441</v>
      </c>
    </row>
    <row r="804" spans="1:21" x14ac:dyDescent="0.25">
      <c r="A804" t="s">
        <v>2</v>
      </c>
      <c r="B804">
        <v>4.9346100000000002</v>
      </c>
      <c r="C804">
        <v>2.94415</v>
      </c>
      <c r="D804">
        <f t="shared" ref="D804:D813" si="238">B804-C804</f>
        <v>1.9904600000000001</v>
      </c>
      <c r="E804" s="1">
        <f t="shared" ref="E804:E813" si="239">D804/C804</f>
        <v>0.67607289030789874</v>
      </c>
      <c r="N804" t="s">
        <v>20</v>
      </c>
      <c r="O804" s="2">
        <f>MIN(U790:U809)</f>
        <v>0.43666674237434427</v>
      </c>
      <c r="U804" s="1">
        <f t="shared" si="237"/>
        <v>0.65230291461858769</v>
      </c>
    </row>
    <row r="805" spans="1:21" x14ac:dyDescent="0.25">
      <c r="A805" t="s">
        <v>3</v>
      </c>
      <c r="B805">
        <v>4.7424799999999996</v>
      </c>
      <c r="C805">
        <v>3.0124499999999999</v>
      </c>
      <c r="D805">
        <f t="shared" si="238"/>
        <v>1.7300299999999997</v>
      </c>
      <c r="E805" s="1">
        <f t="shared" si="239"/>
        <v>0.57429334926720765</v>
      </c>
      <c r="N805" t="s">
        <v>21</v>
      </c>
      <c r="O805" s="2">
        <f>MAX(U790:U809)</f>
        <v>1.1528144272380463</v>
      </c>
      <c r="U805" s="1">
        <f t="shared" si="237"/>
        <v>0.60406119998142249</v>
      </c>
    </row>
    <row r="806" spans="1:21" x14ac:dyDescent="0.25">
      <c r="A806" t="s">
        <v>4</v>
      </c>
      <c r="B806">
        <v>5.0266200000000003</v>
      </c>
      <c r="C806">
        <v>2.9248500000000002</v>
      </c>
      <c r="D806">
        <f t="shared" si="238"/>
        <v>2.1017700000000001</v>
      </c>
      <c r="E806" s="1">
        <f t="shared" si="239"/>
        <v>0.71859069695881839</v>
      </c>
      <c r="N806" t="s">
        <v>22</v>
      </c>
      <c r="O806" s="2">
        <f>AVERAGE(U790:U809)</f>
        <v>0.63560690146389764</v>
      </c>
      <c r="U806" s="1">
        <f t="shared" si="237"/>
        <v>0.67185671674095515</v>
      </c>
    </row>
    <row r="807" spans="1:21" x14ac:dyDescent="0.25">
      <c r="A807" t="s">
        <v>5</v>
      </c>
      <c r="B807">
        <v>4.8463799999999999</v>
      </c>
      <c r="C807">
        <v>3.0242300000000002</v>
      </c>
      <c r="D807">
        <f t="shared" si="238"/>
        <v>1.8221499999999997</v>
      </c>
      <c r="E807" s="1">
        <f t="shared" si="239"/>
        <v>0.60251700432837441</v>
      </c>
      <c r="U807" s="1">
        <f t="shared" si="237"/>
        <v>0.54701273897763392</v>
      </c>
    </row>
    <row r="808" spans="1:21" x14ac:dyDescent="0.25">
      <c r="A808" t="s">
        <v>6</v>
      </c>
      <c r="B808">
        <v>5.0119800000000003</v>
      </c>
      <c r="C808">
        <v>3.0333299999999999</v>
      </c>
      <c r="D808">
        <f t="shared" si="238"/>
        <v>1.9786500000000005</v>
      </c>
      <c r="E808" s="1">
        <f t="shared" si="239"/>
        <v>0.65230291461858769</v>
      </c>
      <c r="U808" s="1">
        <f t="shared" si="237"/>
        <v>0.4367283900546069</v>
      </c>
    </row>
    <row r="809" spans="1:21" x14ac:dyDescent="0.25">
      <c r="A809" t="s">
        <v>7</v>
      </c>
      <c r="B809">
        <v>4.8352500000000003</v>
      </c>
      <c r="C809">
        <v>3.0143800000000001</v>
      </c>
      <c r="D809">
        <f t="shared" si="238"/>
        <v>1.8208700000000002</v>
      </c>
      <c r="E809" s="1">
        <f t="shared" si="239"/>
        <v>0.60406119998142249</v>
      </c>
      <c r="U809" s="1">
        <f t="shared" si="237"/>
        <v>1.1528144272380463</v>
      </c>
    </row>
    <row r="810" spans="1:21" x14ac:dyDescent="0.25">
      <c r="A810" t="s">
        <v>8</v>
      </c>
      <c r="B810">
        <v>4.9435799999999999</v>
      </c>
      <c r="C810">
        <v>2.9569399999999999</v>
      </c>
      <c r="D810">
        <f t="shared" si="238"/>
        <v>1.98664</v>
      </c>
      <c r="E810" s="1">
        <f t="shared" si="239"/>
        <v>0.67185671674095515</v>
      </c>
    </row>
    <row r="811" spans="1:21" x14ac:dyDescent="0.25">
      <c r="A811" t="s">
        <v>9</v>
      </c>
      <c r="B811">
        <v>4.7628500000000003</v>
      </c>
      <c r="C811">
        <v>3.0787399999999998</v>
      </c>
      <c r="D811">
        <f t="shared" si="238"/>
        <v>1.6841100000000004</v>
      </c>
      <c r="E811" s="1">
        <f t="shared" si="239"/>
        <v>0.54701273897763392</v>
      </c>
    </row>
    <row r="812" spans="1:21" x14ac:dyDescent="0.25">
      <c r="A812" t="s">
        <v>10</v>
      </c>
      <c r="B812">
        <v>4.4280400000000002</v>
      </c>
      <c r="C812">
        <v>3.08203</v>
      </c>
      <c r="D812">
        <f t="shared" si="238"/>
        <v>1.3460100000000002</v>
      </c>
      <c r="E812" s="1">
        <f t="shared" si="239"/>
        <v>0.4367283900546069</v>
      </c>
    </row>
    <row r="813" spans="1:21" x14ac:dyDescent="0.25">
      <c r="A813" t="s">
        <v>11</v>
      </c>
      <c r="B813">
        <v>17.1327</v>
      </c>
      <c r="C813">
        <v>7.9582800000000002</v>
      </c>
      <c r="D813">
        <f t="shared" si="238"/>
        <v>9.1744199999999996</v>
      </c>
      <c r="E813" s="1">
        <f t="shared" si="239"/>
        <v>1.1528144272380463</v>
      </c>
    </row>
    <row r="815" spans="1:21" x14ac:dyDescent="0.25">
      <c r="A815" s="6" t="s">
        <v>58</v>
      </c>
      <c r="B815" s="6"/>
    </row>
    <row r="817" spans="1:25" x14ac:dyDescent="0.25">
      <c r="A817" t="s">
        <v>1</v>
      </c>
      <c r="B817" t="s">
        <v>12</v>
      </c>
      <c r="C817" t="s">
        <v>13</v>
      </c>
      <c r="E817" t="s">
        <v>15</v>
      </c>
      <c r="I817" t="s">
        <v>16</v>
      </c>
      <c r="J817" t="s">
        <v>17</v>
      </c>
      <c r="K817" t="s">
        <v>18</v>
      </c>
      <c r="U817" s="1">
        <f t="shared" ref="U817:U826" si="240">J818</f>
        <v>0.26181736814546702</v>
      </c>
      <c r="W817" s="2">
        <f>O831</f>
        <v>0.1631666945396251</v>
      </c>
      <c r="X817" s="2">
        <f>O832</f>
        <v>0.70354192396590498</v>
      </c>
      <c r="Y817" s="2">
        <f>O833</f>
        <v>0.27486940128848458</v>
      </c>
    </row>
    <row r="818" spans="1:25" x14ac:dyDescent="0.25">
      <c r="A818" t="s">
        <v>2</v>
      </c>
      <c r="B818">
        <v>1.6787403806371499</v>
      </c>
      <c r="C818">
        <v>1.33041470423287</v>
      </c>
      <c r="D818">
        <f t="shared" ref="D818:D827" si="241">B818-C818</f>
        <v>0.34832567640427992</v>
      </c>
      <c r="E818" s="1">
        <f t="shared" ref="E818:E827" si="242">D818/C818</f>
        <v>0.26181736814546702</v>
      </c>
      <c r="I818" t="s">
        <v>2</v>
      </c>
      <c r="J818" s="1">
        <f t="shared" ref="J818:J827" si="243">E818</f>
        <v>0.26181736814546702</v>
      </c>
      <c r="K818" s="1">
        <f t="shared" ref="K818:K827" si="244">E831</f>
        <v>0.25817491963719963</v>
      </c>
      <c r="U818" s="1">
        <f t="shared" si="240"/>
        <v>0.25560451245472254</v>
      </c>
    </row>
    <row r="819" spans="1:25" x14ac:dyDescent="0.25">
      <c r="A819" t="s">
        <v>3</v>
      </c>
      <c r="B819">
        <v>1.6836199413914199</v>
      </c>
      <c r="C819">
        <v>1.3408839524636</v>
      </c>
      <c r="D819">
        <f t="shared" si="241"/>
        <v>0.34273598892781987</v>
      </c>
      <c r="E819" s="1">
        <f t="shared" si="242"/>
        <v>0.25560451245472254</v>
      </c>
      <c r="I819" t="s">
        <v>3</v>
      </c>
      <c r="J819" s="1">
        <f t="shared" si="243"/>
        <v>0.25560451245472254</v>
      </c>
      <c r="K819" s="1">
        <f t="shared" si="244"/>
        <v>0.25856076888662854</v>
      </c>
      <c r="U819" s="1">
        <f t="shared" si="240"/>
        <v>0.24490415849103855</v>
      </c>
    </row>
    <row r="820" spans="1:25" x14ac:dyDescent="0.25">
      <c r="A820" t="s">
        <v>4</v>
      </c>
      <c r="B820">
        <v>1.69704315473727</v>
      </c>
      <c r="C820">
        <v>1.3631918113232699</v>
      </c>
      <c r="D820">
        <f t="shared" si="241"/>
        <v>0.33385134341400002</v>
      </c>
      <c r="E820" s="1">
        <f t="shared" si="242"/>
        <v>0.24490415849103855</v>
      </c>
      <c r="I820" t="s">
        <v>4</v>
      </c>
      <c r="J820" s="1">
        <f t="shared" si="243"/>
        <v>0.24490415849103855</v>
      </c>
      <c r="K820" s="1">
        <f t="shared" si="244"/>
        <v>0.24717124401909799</v>
      </c>
      <c r="U820" s="1">
        <f t="shared" si="240"/>
        <v>0.22859109436414873</v>
      </c>
    </row>
    <row r="821" spans="1:25" x14ac:dyDescent="0.25">
      <c r="A821" t="s">
        <v>5</v>
      </c>
      <c r="B821">
        <v>1.6945994745914601</v>
      </c>
      <c r="C821">
        <v>1.37930307517693</v>
      </c>
      <c r="D821">
        <f t="shared" si="241"/>
        <v>0.31529639941453014</v>
      </c>
      <c r="E821" s="1">
        <f t="shared" si="242"/>
        <v>0.22859109436414873</v>
      </c>
      <c r="I821" t="s">
        <v>5</v>
      </c>
      <c r="J821" s="1">
        <f t="shared" si="243"/>
        <v>0.22859109436414873</v>
      </c>
      <c r="K821" s="1">
        <f t="shared" si="244"/>
        <v>0.23868531378400609</v>
      </c>
      <c r="U821" s="1">
        <f t="shared" si="240"/>
        <v>0.23617443497505883</v>
      </c>
    </row>
    <row r="822" spans="1:25" x14ac:dyDescent="0.25">
      <c r="A822" t="s">
        <v>6</v>
      </c>
      <c r="B822">
        <v>1.7191892442421699</v>
      </c>
      <c r="C822">
        <v>1.39073353695173</v>
      </c>
      <c r="D822">
        <f t="shared" si="241"/>
        <v>0.32845570729043994</v>
      </c>
      <c r="E822" s="1">
        <f t="shared" si="242"/>
        <v>0.23617443497505883</v>
      </c>
      <c r="I822" t="s">
        <v>6</v>
      </c>
      <c r="J822" s="1">
        <f t="shared" si="243"/>
        <v>0.23617443497505883</v>
      </c>
      <c r="K822" s="1">
        <f t="shared" si="244"/>
        <v>0.22905336575953758</v>
      </c>
      <c r="U822" s="1">
        <f t="shared" si="240"/>
        <v>0.22679112008847591</v>
      </c>
    </row>
    <row r="823" spans="1:25" x14ac:dyDescent="0.25">
      <c r="A823" t="s">
        <v>7</v>
      </c>
      <c r="B823">
        <v>1.7150727497759</v>
      </c>
      <c r="C823">
        <v>1.39801529509947</v>
      </c>
      <c r="D823">
        <f t="shared" si="241"/>
        <v>0.31705745467642998</v>
      </c>
      <c r="E823" s="1">
        <f t="shared" si="242"/>
        <v>0.22679112008847591</v>
      </c>
      <c r="I823" t="s">
        <v>7</v>
      </c>
      <c r="J823" s="1">
        <f t="shared" si="243"/>
        <v>0.22679112008847591</v>
      </c>
      <c r="K823" s="1">
        <f t="shared" si="244"/>
        <v>0.24189678728931835</v>
      </c>
      <c r="U823" s="1">
        <f t="shared" si="240"/>
        <v>0.2224588293083635</v>
      </c>
    </row>
    <row r="824" spans="1:25" x14ac:dyDescent="0.25">
      <c r="A824" t="s">
        <v>8</v>
      </c>
      <c r="B824">
        <v>1.71906768997379</v>
      </c>
      <c r="C824">
        <v>1.4062376979569899</v>
      </c>
      <c r="D824">
        <f t="shared" si="241"/>
        <v>0.31282999201680006</v>
      </c>
      <c r="E824" s="1">
        <f t="shared" si="242"/>
        <v>0.2224588293083635</v>
      </c>
      <c r="I824" t="s">
        <v>8</v>
      </c>
      <c r="J824" s="1">
        <f t="shared" si="243"/>
        <v>0.2224588293083635</v>
      </c>
      <c r="K824" s="1">
        <f t="shared" si="244"/>
        <v>0.22559616138999489</v>
      </c>
      <c r="U824" s="1">
        <f t="shared" si="240"/>
        <v>0.20091708975802705</v>
      </c>
    </row>
    <row r="825" spans="1:25" x14ac:dyDescent="0.25">
      <c r="A825" t="s">
        <v>9</v>
      </c>
      <c r="B825">
        <v>1.7593803337240499</v>
      </c>
      <c r="C825">
        <v>1.46503064094004</v>
      </c>
      <c r="D825">
        <f t="shared" si="241"/>
        <v>0.29434969278400991</v>
      </c>
      <c r="E825" s="1">
        <f t="shared" si="242"/>
        <v>0.20091708975802705</v>
      </c>
      <c r="I825" t="s">
        <v>9</v>
      </c>
      <c r="J825" s="1">
        <f t="shared" si="243"/>
        <v>0.20091708975802705</v>
      </c>
      <c r="K825" s="1">
        <f t="shared" si="244"/>
        <v>0.20338309777904837</v>
      </c>
      <c r="U825" s="1">
        <f t="shared" si="240"/>
        <v>0.17285854552907826</v>
      </c>
    </row>
    <row r="826" spans="1:25" x14ac:dyDescent="0.25">
      <c r="A826" t="s">
        <v>10</v>
      </c>
      <c r="B826">
        <v>1.85411244035305</v>
      </c>
      <c r="C826">
        <v>1.5808491547603101</v>
      </c>
      <c r="D826">
        <f t="shared" si="241"/>
        <v>0.27326328559273994</v>
      </c>
      <c r="E826" s="1">
        <f t="shared" si="242"/>
        <v>0.17285854552907826</v>
      </c>
      <c r="I826" t="s">
        <v>10</v>
      </c>
      <c r="J826" s="1">
        <f t="shared" si="243"/>
        <v>0.17285854552907826</v>
      </c>
      <c r="K826" s="1">
        <f t="shared" si="244"/>
        <v>0.1631666945396251</v>
      </c>
      <c r="U826" s="1">
        <f t="shared" si="240"/>
        <v>0.70354192396590498</v>
      </c>
    </row>
    <row r="827" spans="1:25" x14ac:dyDescent="0.25">
      <c r="A827" t="s">
        <v>11</v>
      </c>
      <c r="B827">
        <v>5.0931407729435101</v>
      </c>
      <c r="C827">
        <v>2.9897360911943398</v>
      </c>
      <c r="D827">
        <f t="shared" si="241"/>
        <v>2.1034046817491703</v>
      </c>
      <c r="E827" s="1">
        <f t="shared" si="242"/>
        <v>0.70354192396590498</v>
      </c>
      <c r="I827" t="s">
        <v>11</v>
      </c>
      <c r="J827" s="1">
        <f t="shared" si="243"/>
        <v>0.70354192396590498</v>
      </c>
      <c r="K827" s="1">
        <f t="shared" si="244"/>
        <v>0.67804059560494845</v>
      </c>
      <c r="U827" s="1">
        <f t="shared" ref="U827:U836" si="245">K818</f>
        <v>0.25817491963719963</v>
      </c>
    </row>
    <row r="828" spans="1:25" x14ac:dyDescent="0.25">
      <c r="U828" s="1">
        <f t="shared" si="245"/>
        <v>0.25856076888662854</v>
      </c>
    </row>
    <row r="829" spans="1:25" x14ac:dyDescent="0.25">
      <c r="U829" s="1">
        <f t="shared" si="245"/>
        <v>0.24717124401909799</v>
      </c>
    </row>
    <row r="830" spans="1:25" x14ac:dyDescent="0.25">
      <c r="A830" t="s">
        <v>1</v>
      </c>
      <c r="B830" t="s">
        <v>14</v>
      </c>
      <c r="C830" t="s">
        <v>13</v>
      </c>
      <c r="I830" t="s">
        <v>19</v>
      </c>
      <c r="J830" s="2">
        <f>AVERAGE(J818:J827)</f>
        <v>0.27536590770802849</v>
      </c>
      <c r="K830" s="2">
        <f>AVERAGE(K818:K827)</f>
        <v>0.27437289486894045</v>
      </c>
      <c r="U830" s="1">
        <f t="shared" si="245"/>
        <v>0.23868531378400609</v>
      </c>
    </row>
    <row r="831" spans="1:25" x14ac:dyDescent="0.25">
      <c r="A831" t="s">
        <v>2</v>
      </c>
      <c r="B831">
        <v>1.6738944135823399</v>
      </c>
      <c r="C831">
        <v>1.33041470423287</v>
      </c>
      <c r="D831">
        <f t="shared" ref="D831:D840" si="246">B831-C831</f>
        <v>0.34347970934946992</v>
      </c>
      <c r="E831" s="1">
        <f t="shared" ref="E831:E840" si="247">D831/C831</f>
        <v>0.25817491963719963</v>
      </c>
      <c r="N831" t="s">
        <v>20</v>
      </c>
      <c r="O831" s="2">
        <f>MIN(U817:U836)</f>
        <v>0.1631666945396251</v>
      </c>
      <c r="U831" s="1">
        <f t="shared" si="245"/>
        <v>0.22905336575953758</v>
      </c>
    </row>
    <row r="832" spans="1:25" x14ac:dyDescent="0.25">
      <c r="A832" t="s">
        <v>3</v>
      </c>
      <c r="B832">
        <v>1.6875839382003299</v>
      </c>
      <c r="C832">
        <v>1.3408839524636</v>
      </c>
      <c r="D832">
        <f t="shared" si="246"/>
        <v>0.34669998573672989</v>
      </c>
      <c r="E832" s="1">
        <f t="shared" si="247"/>
        <v>0.25856076888662854</v>
      </c>
      <c r="N832" t="s">
        <v>21</v>
      </c>
      <c r="O832" s="2">
        <f>MAX(U817:U836)</f>
        <v>0.70354192396590498</v>
      </c>
      <c r="U832" s="1">
        <f t="shared" si="245"/>
        <v>0.24189678728931835</v>
      </c>
    </row>
    <row r="833" spans="1:25" x14ac:dyDescent="0.25">
      <c r="A833" t="s">
        <v>4</v>
      </c>
      <c r="B833">
        <v>1.7001336271646901</v>
      </c>
      <c r="C833">
        <v>1.3631918113232699</v>
      </c>
      <c r="D833">
        <f t="shared" si="246"/>
        <v>0.33694181584142013</v>
      </c>
      <c r="E833" s="1">
        <f t="shared" si="247"/>
        <v>0.24717124401909799</v>
      </c>
      <c r="N833" t="s">
        <v>22</v>
      </c>
      <c r="O833" s="2">
        <f>AVERAGE(U817:U836)</f>
        <v>0.27486940128848458</v>
      </c>
      <c r="U833" s="1">
        <f t="shared" si="245"/>
        <v>0.22559616138999489</v>
      </c>
    </row>
    <row r="834" spans="1:25" x14ac:dyDescent="0.25">
      <c r="A834" t="s">
        <v>5</v>
      </c>
      <c r="B834">
        <v>1.70852246247878</v>
      </c>
      <c r="C834">
        <v>1.37930307517693</v>
      </c>
      <c r="D834">
        <f t="shared" si="246"/>
        <v>0.32921938730185007</v>
      </c>
      <c r="E834" s="1">
        <f t="shared" si="247"/>
        <v>0.23868531378400609</v>
      </c>
      <c r="U834" s="1">
        <f t="shared" si="245"/>
        <v>0.20338309777904837</v>
      </c>
    </row>
    <row r="835" spans="1:25" x14ac:dyDescent="0.25">
      <c r="A835" t="s">
        <v>6</v>
      </c>
      <c r="B835">
        <v>1.7092857344651899</v>
      </c>
      <c r="C835">
        <v>1.39073353695173</v>
      </c>
      <c r="D835">
        <f t="shared" si="246"/>
        <v>0.31855219751345998</v>
      </c>
      <c r="E835" s="1">
        <f t="shared" si="247"/>
        <v>0.22905336575953758</v>
      </c>
      <c r="U835" s="1">
        <f t="shared" si="245"/>
        <v>0.1631666945396251</v>
      </c>
    </row>
    <row r="836" spans="1:25" x14ac:dyDescent="0.25">
      <c r="A836" t="s">
        <v>7</v>
      </c>
      <c r="B836">
        <v>1.7361907035653601</v>
      </c>
      <c r="C836">
        <v>1.39801529509947</v>
      </c>
      <c r="D836">
        <f t="shared" si="246"/>
        <v>0.33817540846589011</v>
      </c>
      <c r="E836" s="1">
        <f t="shared" si="247"/>
        <v>0.24189678728931835</v>
      </c>
      <c r="U836" s="1">
        <f t="shared" si="245"/>
        <v>0.67804059560494845</v>
      </c>
    </row>
    <row r="837" spans="1:25" x14ac:dyDescent="0.25">
      <c r="A837" t="s">
        <v>8</v>
      </c>
      <c r="B837">
        <v>1.7234795246179899</v>
      </c>
      <c r="C837">
        <v>1.4062376979569899</v>
      </c>
      <c r="D837">
        <f t="shared" si="246"/>
        <v>0.31724182666099998</v>
      </c>
      <c r="E837" s="1">
        <f t="shared" si="247"/>
        <v>0.22559616138999489</v>
      </c>
    </row>
    <row r="838" spans="1:25" x14ac:dyDescent="0.25">
      <c r="A838" t="s">
        <v>9</v>
      </c>
      <c r="B838">
        <v>1.76299311103565</v>
      </c>
      <c r="C838">
        <v>1.46503064094004</v>
      </c>
      <c r="D838">
        <f t="shared" si="246"/>
        <v>0.29796247009561005</v>
      </c>
      <c r="E838" s="1">
        <f t="shared" si="247"/>
        <v>0.20338309777904837</v>
      </c>
    </row>
    <row r="839" spans="1:25" x14ac:dyDescent="0.25">
      <c r="A839" t="s">
        <v>10</v>
      </c>
      <c r="B839">
        <v>1.8387910859083101</v>
      </c>
      <c r="C839">
        <v>1.5808491547603101</v>
      </c>
      <c r="D839">
        <f t="shared" si="246"/>
        <v>0.25794193114800001</v>
      </c>
      <c r="E839" s="1">
        <f t="shared" si="247"/>
        <v>0.1631666945396251</v>
      </c>
    </row>
    <row r="840" spans="1:25" x14ac:dyDescent="0.25">
      <c r="A840" t="s">
        <v>11</v>
      </c>
      <c r="B840">
        <v>5.0168985311693604</v>
      </c>
      <c r="C840">
        <v>2.9897360911943398</v>
      </c>
      <c r="D840">
        <f t="shared" si="246"/>
        <v>2.0271624399750205</v>
      </c>
      <c r="E840" s="1">
        <f t="shared" si="247"/>
        <v>0.67804059560494845</v>
      </c>
    </row>
    <row r="842" spans="1:25" x14ac:dyDescent="0.25">
      <c r="A842" s="6" t="s">
        <v>59</v>
      </c>
      <c r="B842" s="6"/>
    </row>
    <row r="844" spans="1:25" x14ac:dyDescent="0.25">
      <c r="A844" t="s">
        <v>1</v>
      </c>
      <c r="B844" t="s">
        <v>12</v>
      </c>
      <c r="C844" t="s">
        <v>13</v>
      </c>
      <c r="E844" t="s">
        <v>15</v>
      </c>
      <c r="I844" t="s">
        <v>16</v>
      </c>
      <c r="J844" t="s">
        <v>17</v>
      </c>
      <c r="K844" t="s">
        <v>18</v>
      </c>
      <c r="U844" s="1">
        <f t="shared" ref="U844:U853" si="248">J845</f>
        <v>1.0901167599263051</v>
      </c>
      <c r="W844" s="2">
        <f>O858</f>
        <v>0.74992011229928224</v>
      </c>
      <c r="X844" s="2">
        <f>O859</f>
        <v>1.7180825818699574</v>
      </c>
      <c r="Y844" s="2">
        <f>O860</f>
        <v>1.0128623938344861</v>
      </c>
    </row>
    <row r="845" spans="1:25" x14ac:dyDescent="0.25">
      <c r="A845" t="s">
        <v>2</v>
      </c>
      <c r="B845">
        <v>7.3286600000000002</v>
      </c>
      <c r="C845">
        <v>3.5063399999999998</v>
      </c>
      <c r="D845">
        <f t="shared" ref="D845:D854" si="249">B845-C845</f>
        <v>3.8223200000000004</v>
      </c>
      <c r="E845" s="1">
        <f t="shared" ref="E845:E854" si="250">D845/C845</f>
        <v>1.0901167599263051</v>
      </c>
      <c r="I845" t="s">
        <v>2</v>
      </c>
      <c r="J845" s="1">
        <f t="shared" ref="J845:J854" si="251">E845</f>
        <v>1.0901167599263051</v>
      </c>
      <c r="K845" s="1">
        <f t="shared" ref="K845:K854" si="252">E858</f>
        <v>0.98077197305452424</v>
      </c>
      <c r="U845" s="1">
        <f t="shared" si="248"/>
        <v>1.0552799433026221</v>
      </c>
    </row>
    <row r="846" spans="1:25" x14ac:dyDescent="0.25">
      <c r="A846" t="s">
        <v>3</v>
      </c>
      <c r="B846">
        <v>6.96</v>
      </c>
      <c r="C846">
        <v>3.3864000000000001</v>
      </c>
      <c r="D846">
        <f t="shared" si="249"/>
        <v>3.5735999999999999</v>
      </c>
      <c r="E846" s="1">
        <f t="shared" si="250"/>
        <v>1.0552799433026221</v>
      </c>
      <c r="I846" t="s">
        <v>3</v>
      </c>
      <c r="J846" s="1">
        <f t="shared" si="251"/>
        <v>1.0552799433026221</v>
      </c>
      <c r="K846" s="1">
        <f t="shared" si="252"/>
        <v>0.98226730451216615</v>
      </c>
      <c r="U846" s="1">
        <f t="shared" si="248"/>
        <v>0.99001325186961553</v>
      </c>
    </row>
    <row r="847" spans="1:25" x14ac:dyDescent="0.25">
      <c r="A847" t="s">
        <v>4</v>
      </c>
      <c r="B847">
        <v>6.8627000000000002</v>
      </c>
      <c r="C847">
        <v>3.4485700000000001</v>
      </c>
      <c r="D847">
        <f t="shared" si="249"/>
        <v>3.4141300000000001</v>
      </c>
      <c r="E847" s="1">
        <f t="shared" si="250"/>
        <v>0.99001325186961553</v>
      </c>
      <c r="I847" t="s">
        <v>4</v>
      </c>
      <c r="J847" s="1">
        <f t="shared" si="251"/>
        <v>0.99001325186961553</v>
      </c>
      <c r="K847" s="1">
        <f t="shared" si="252"/>
        <v>1.050186019132568</v>
      </c>
      <c r="U847" s="1">
        <f t="shared" si="248"/>
        <v>0.85434570968175105</v>
      </c>
    </row>
    <row r="848" spans="1:25" x14ac:dyDescent="0.25">
      <c r="A848" t="s">
        <v>5</v>
      </c>
      <c r="B848">
        <v>6.6284700000000001</v>
      </c>
      <c r="C848">
        <v>3.57456</v>
      </c>
      <c r="D848">
        <f t="shared" si="249"/>
        <v>3.0539100000000001</v>
      </c>
      <c r="E848" s="1">
        <f t="shared" si="250"/>
        <v>0.85434570968175105</v>
      </c>
      <c r="I848" t="s">
        <v>5</v>
      </c>
      <c r="J848" s="1">
        <f t="shared" si="251"/>
        <v>0.85434570968175105</v>
      </c>
      <c r="K848" s="1">
        <f t="shared" si="252"/>
        <v>1.0117469003178015</v>
      </c>
      <c r="U848" s="1">
        <f t="shared" si="248"/>
        <v>0.943188953407607</v>
      </c>
    </row>
    <row r="849" spans="1:21" x14ac:dyDescent="0.25">
      <c r="A849" t="s">
        <v>6</v>
      </c>
      <c r="B849">
        <v>6.9941199999999997</v>
      </c>
      <c r="C849">
        <v>3.5992999999999999</v>
      </c>
      <c r="D849">
        <f t="shared" si="249"/>
        <v>3.3948199999999997</v>
      </c>
      <c r="E849" s="1">
        <f t="shared" si="250"/>
        <v>0.943188953407607</v>
      </c>
      <c r="I849" t="s">
        <v>6</v>
      </c>
      <c r="J849" s="1">
        <f t="shared" si="251"/>
        <v>0.943188953407607</v>
      </c>
      <c r="K849" s="1">
        <f t="shared" si="252"/>
        <v>0.8984691467785404</v>
      </c>
      <c r="U849" s="1">
        <f t="shared" si="248"/>
        <v>0.9313818237771484</v>
      </c>
    </row>
    <row r="850" spans="1:21" x14ac:dyDescent="0.25">
      <c r="A850" t="s">
        <v>7</v>
      </c>
      <c r="B850">
        <v>6.7780300000000002</v>
      </c>
      <c r="C850">
        <v>3.50942</v>
      </c>
      <c r="D850">
        <f t="shared" si="249"/>
        <v>3.2686100000000002</v>
      </c>
      <c r="E850" s="1">
        <f t="shared" si="250"/>
        <v>0.9313818237771484</v>
      </c>
      <c r="I850" t="s">
        <v>7</v>
      </c>
      <c r="J850" s="1">
        <f t="shared" si="251"/>
        <v>0.9313818237771484</v>
      </c>
      <c r="K850" s="1">
        <f t="shared" si="252"/>
        <v>0.9447544038616067</v>
      </c>
      <c r="U850" s="1">
        <f t="shared" si="248"/>
        <v>0.95865190531530975</v>
      </c>
    </row>
    <row r="851" spans="1:21" x14ac:dyDescent="0.25">
      <c r="A851" t="s">
        <v>8</v>
      </c>
      <c r="B851">
        <v>6.7246199999999998</v>
      </c>
      <c r="C851">
        <v>3.43329</v>
      </c>
      <c r="D851">
        <f t="shared" si="249"/>
        <v>3.2913299999999999</v>
      </c>
      <c r="E851" s="1">
        <f t="shared" si="250"/>
        <v>0.95865190531530975</v>
      </c>
      <c r="I851" t="s">
        <v>8</v>
      </c>
      <c r="J851" s="1">
        <f t="shared" si="251"/>
        <v>0.95865190531530975</v>
      </c>
      <c r="K851" s="1">
        <f t="shared" si="252"/>
        <v>0.95778975851151527</v>
      </c>
      <c r="U851" s="1">
        <f t="shared" si="248"/>
        <v>0.86592774074212375</v>
      </c>
    </row>
    <row r="852" spans="1:21" x14ac:dyDescent="0.25">
      <c r="A852" t="s">
        <v>9</v>
      </c>
      <c r="B852">
        <v>6.4964700000000004</v>
      </c>
      <c r="C852">
        <v>3.48163</v>
      </c>
      <c r="D852">
        <f t="shared" si="249"/>
        <v>3.0148400000000004</v>
      </c>
      <c r="E852" s="1">
        <f t="shared" si="250"/>
        <v>0.86592774074212375</v>
      </c>
      <c r="I852" t="s">
        <v>9</v>
      </c>
      <c r="J852" s="1">
        <f t="shared" si="251"/>
        <v>0.86592774074212375</v>
      </c>
      <c r="K852" s="1">
        <f t="shared" si="252"/>
        <v>0.89602571209462234</v>
      </c>
      <c r="U852" s="1">
        <f t="shared" si="248"/>
        <v>0.82689476507309745</v>
      </c>
    </row>
    <row r="853" spans="1:21" x14ac:dyDescent="0.25">
      <c r="A853" t="s">
        <v>10</v>
      </c>
      <c r="B853">
        <v>6.4031200000000004</v>
      </c>
      <c r="C853">
        <v>3.5049199999999998</v>
      </c>
      <c r="D853">
        <f t="shared" si="249"/>
        <v>2.8982000000000006</v>
      </c>
      <c r="E853" s="1">
        <f t="shared" si="250"/>
        <v>0.82689476507309745</v>
      </c>
      <c r="I853" t="s">
        <v>10</v>
      </c>
      <c r="J853" s="1">
        <f t="shared" si="251"/>
        <v>0.82689476507309745</v>
      </c>
      <c r="K853" s="1">
        <f t="shared" si="252"/>
        <v>0.74992011229928224</v>
      </c>
      <c r="U853" s="1">
        <f t="shared" si="248"/>
        <v>1.7180825818699574</v>
      </c>
    </row>
    <row r="854" spans="1:21" x14ac:dyDescent="0.25">
      <c r="A854" t="s">
        <v>11</v>
      </c>
      <c r="B854">
        <v>26.344200000000001</v>
      </c>
      <c r="C854">
        <v>9.6921999999999997</v>
      </c>
      <c r="D854">
        <f t="shared" si="249"/>
        <v>16.652000000000001</v>
      </c>
      <c r="E854" s="1">
        <f t="shared" si="250"/>
        <v>1.7180825818699574</v>
      </c>
      <c r="I854" t="s">
        <v>11</v>
      </c>
      <c r="J854" s="1">
        <f t="shared" si="251"/>
        <v>1.7180825818699574</v>
      </c>
      <c r="K854" s="1">
        <f t="shared" si="252"/>
        <v>1.5514331111615527</v>
      </c>
      <c r="U854" s="1">
        <f t="shared" ref="U854:U863" si="253">K845</f>
        <v>0.98077197305452424</v>
      </c>
    </row>
    <row r="855" spans="1:21" x14ac:dyDescent="0.25">
      <c r="U855" s="1">
        <f t="shared" si="253"/>
        <v>0.98226730451216615</v>
      </c>
    </row>
    <row r="856" spans="1:21" x14ac:dyDescent="0.25">
      <c r="U856" s="1">
        <f t="shared" si="253"/>
        <v>1.050186019132568</v>
      </c>
    </row>
    <row r="857" spans="1:21" x14ac:dyDescent="0.25">
      <c r="A857" t="s">
        <v>1</v>
      </c>
      <c r="B857" t="s">
        <v>14</v>
      </c>
      <c r="C857" t="s">
        <v>13</v>
      </c>
      <c r="I857" t="s">
        <v>19</v>
      </c>
      <c r="J857" s="2">
        <f>AVERAGE(J845:J854)</f>
        <v>1.0233883434965538</v>
      </c>
      <c r="K857" s="2">
        <f>AVERAGE(K845:K854)</f>
        <v>1.0023364441724179</v>
      </c>
      <c r="U857" s="1">
        <f t="shared" si="253"/>
        <v>1.0117469003178015</v>
      </c>
    </row>
    <row r="858" spans="1:21" x14ac:dyDescent="0.25">
      <c r="A858" t="s">
        <v>2</v>
      </c>
      <c r="B858">
        <v>6.9452600000000002</v>
      </c>
      <c r="C858">
        <v>3.5063399999999998</v>
      </c>
      <c r="D858">
        <f t="shared" ref="D858:D867" si="254">B858-C858</f>
        <v>3.4389200000000004</v>
      </c>
      <c r="E858" s="1">
        <f t="shared" ref="E858:E867" si="255">D858/C858</f>
        <v>0.98077197305452424</v>
      </c>
      <c r="N858" t="s">
        <v>20</v>
      </c>
      <c r="O858" s="2">
        <f>MIN(U844:U863)</f>
        <v>0.74992011229928224</v>
      </c>
      <c r="U858" s="1">
        <f t="shared" si="253"/>
        <v>0.8984691467785404</v>
      </c>
    </row>
    <row r="859" spans="1:21" x14ac:dyDescent="0.25">
      <c r="A859" t="s">
        <v>3</v>
      </c>
      <c r="B859">
        <v>6.7127499999999998</v>
      </c>
      <c r="C859">
        <v>3.3864000000000001</v>
      </c>
      <c r="D859">
        <f t="shared" si="254"/>
        <v>3.3263499999999997</v>
      </c>
      <c r="E859" s="1">
        <f t="shared" si="255"/>
        <v>0.98226730451216615</v>
      </c>
      <c r="N859" t="s">
        <v>21</v>
      </c>
      <c r="O859" s="2">
        <f>MAX(U844:U863)</f>
        <v>1.7180825818699574</v>
      </c>
      <c r="U859" s="1">
        <f t="shared" si="253"/>
        <v>0.9447544038616067</v>
      </c>
    </row>
    <row r="860" spans="1:21" x14ac:dyDescent="0.25">
      <c r="A860" t="s">
        <v>4</v>
      </c>
      <c r="B860">
        <v>7.0702100000000003</v>
      </c>
      <c r="C860">
        <v>3.4485700000000001</v>
      </c>
      <c r="D860">
        <f t="shared" si="254"/>
        <v>3.6216400000000002</v>
      </c>
      <c r="E860" s="1">
        <f t="shared" si="255"/>
        <v>1.050186019132568</v>
      </c>
      <c r="N860" t="s">
        <v>22</v>
      </c>
      <c r="O860" s="2">
        <f>AVERAGE(U844:U863)</f>
        <v>1.0128623938344861</v>
      </c>
      <c r="U860" s="1">
        <f t="shared" si="253"/>
        <v>0.95778975851151527</v>
      </c>
    </row>
    <row r="861" spans="1:21" x14ac:dyDescent="0.25">
      <c r="A861" t="s">
        <v>5</v>
      </c>
      <c r="B861">
        <v>7.1911100000000001</v>
      </c>
      <c r="C861">
        <v>3.57456</v>
      </c>
      <c r="D861">
        <f t="shared" si="254"/>
        <v>3.6165500000000002</v>
      </c>
      <c r="E861" s="1">
        <f t="shared" si="255"/>
        <v>1.0117469003178015</v>
      </c>
      <c r="U861" s="1">
        <f t="shared" si="253"/>
        <v>0.89602571209462234</v>
      </c>
    </row>
    <row r="862" spans="1:21" x14ac:dyDescent="0.25">
      <c r="A862" t="s">
        <v>6</v>
      </c>
      <c r="B862">
        <v>6.8331600000000003</v>
      </c>
      <c r="C862">
        <v>3.5992999999999999</v>
      </c>
      <c r="D862">
        <f t="shared" si="254"/>
        <v>3.2338600000000004</v>
      </c>
      <c r="E862" s="1">
        <f t="shared" si="255"/>
        <v>0.8984691467785404</v>
      </c>
      <c r="U862" s="1">
        <f t="shared" si="253"/>
        <v>0.74992011229928224</v>
      </c>
    </row>
    <row r="863" spans="1:21" x14ac:dyDescent="0.25">
      <c r="A863" t="s">
        <v>7</v>
      </c>
      <c r="B863">
        <v>6.8249599999999999</v>
      </c>
      <c r="C863">
        <v>3.50942</v>
      </c>
      <c r="D863">
        <f t="shared" si="254"/>
        <v>3.3155399999999999</v>
      </c>
      <c r="E863" s="1">
        <f t="shared" si="255"/>
        <v>0.9447544038616067</v>
      </c>
      <c r="U863" s="1">
        <f t="shared" si="253"/>
        <v>1.5514331111615527</v>
      </c>
    </row>
    <row r="864" spans="1:21" x14ac:dyDescent="0.25">
      <c r="A864" t="s">
        <v>8</v>
      </c>
      <c r="B864">
        <v>6.72166</v>
      </c>
      <c r="C864">
        <v>3.43329</v>
      </c>
      <c r="D864">
        <f t="shared" si="254"/>
        <v>3.28837</v>
      </c>
      <c r="E864" s="1">
        <f t="shared" si="255"/>
        <v>0.95778975851151527</v>
      </c>
    </row>
    <row r="865" spans="1:25" x14ac:dyDescent="0.25">
      <c r="A865" t="s">
        <v>9</v>
      </c>
      <c r="B865">
        <v>6.6012599999999999</v>
      </c>
      <c r="C865">
        <v>3.48163</v>
      </c>
      <c r="D865">
        <f t="shared" si="254"/>
        <v>3.1196299999999999</v>
      </c>
      <c r="E865" s="1">
        <f t="shared" si="255"/>
        <v>0.89602571209462234</v>
      </c>
    </row>
    <row r="866" spans="1:25" x14ac:dyDescent="0.25">
      <c r="A866" t="s">
        <v>10</v>
      </c>
      <c r="B866">
        <v>6.1333299999999999</v>
      </c>
      <c r="C866">
        <v>3.5049199999999998</v>
      </c>
      <c r="D866">
        <f t="shared" si="254"/>
        <v>2.6284100000000001</v>
      </c>
      <c r="E866" s="1">
        <f t="shared" si="255"/>
        <v>0.74992011229928224</v>
      </c>
    </row>
    <row r="867" spans="1:25" x14ac:dyDescent="0.25">
      <c r="A867" t="s">
        <v>11</v>
      </c>
      <c r="B867">
        <v>24.728999999999999</v>
      </c>
      <c r="C867">
        <v>9.6921999999999997</v>
      </c>
      <c r="D867">
        <f t="shared" si="254"/>
        <v>15.036799999999999</v>
      </c>
      <c r="E867" s="1">
        <f t="shared" si="255"/>
        <v>1.5514331111615527</v>
      </c>
    </row>
    <row r="869" spans="1:25" x14ac:dyDescent="0.25">
      <c r="A869" s="6" t="s">
        <v>60</v>
      </c>
      <c r="B869" s="6"/>
    </row>
    <row r="871" spans="1:25" x14ac:dyDescent="0.25">
      <c r="A871" t="s">
        <v>1</v>
      </c>
      <c r="B871" t="s">
        <v>12</v>
      </c>
      <c r="C871" t="s">
        <v>13</v>
      </c>
      <c r="E871" t="s">
        <v>15</v>
      </c>
      <c r="I871" t="s">
        <v>16</v>
      </c>
      <c r="J871" t="s">
        <v>17</v>
      </c>
      <c r="K871" t="s">
        <v>18</v>
      </c>
      <c r="U871" s="1">
        <f t="shared" ref="U871:U880" si="256">J872</f>
        <v>0.50985272773947254</v>
      </c>
      <c r="W871" s="2">
        <f>O885</f>
        <v>0.30728210423847963</v>
      </c>
      <c r="X871" s="2">
        <f>O886</f>
        <v>1.0287981978019984</v>
      </c>
      <c r="Y871" s="2">
        <f>O887</f>
        <v>0.49658508227315884</v>
      </c>
    </row>
    <row r="872" spans="1:25" x14ac:dyDescent="0.25">
      <c r="A872" t="s">
        <v>2</v>
      </c>
      <c r="B872">
        <v>2.22717854053113</v>
      </c>
      <c r="C872">
        <v>1.47509654392957</v>
      </c>
      <c r="D872">
        <f t="shared" ref="D872:D881" si="257">B872-C872</f>
        <v>0.75208199660155994</v>
      </c>
      <c r="E872" s="1">
        <f t="shared" ref="E872:E881" si="258">D872/C872</f>
        <v>0.50985272773947254</v>
      </c>
      <c r="I872" t="s">
        <v>2</v>
      </c>
      <c r="J872" s="1">
        <f t="shared" ref="J872:J881" si="259">E872</f>
        <v>0.50985272773947254</v>
      </c>
      <c r="K872" s="1">
        <f t="shared" ref="K872:K881" si="260">E885</f>
        <v>0.49707376329465464</v>
      </c>
      <c r="U872" s="1">
        <f t="shared" si="256"/>
        <v>0.47608836551765427</v>
      </c>
    </row>
    <row r="873" spans="1:25" x14ac:dyDescent="0.25">
      <c r="A873" t="s">
        <v>3</v>
      </c>
      <c r="B873">
        <v>2.23671591441494</v>
      </c>
      <c r="C873">
        <v>1.5152994676104901</v>
      </c>
      <c r="D873">
        <f t="shared" si="257"/>
        <v>0.72141644680444994</v>
      </c>
      <c r="E873" s="1">
        <f t="shared" si="258"/>
        <v>0.47608836551765427</v>
      </c>
      <c r="I873" t="s">
        <v>3</v>
      </c>
      <c r="J873" s="1">
        <f t="shared" si="259"/>
        <v>0.47608836551765427</v>
      </c>
      <c r="K873" s="1">
        <f t="shared" si="260"/>
        <v>0.46873100658212286</v>
      </c>
      <c r="U873" s="1">
        <f t="shared" si="256"/>
        <v>0.47298257184698506</v>
      </c>
    </row>
    <row r="874" spans="1:25" x14ac:dyDescent="0.25">
      <c r="A874" t="s">
        <v>4</v>
      </c>
      <c r="B874">
        <v>2.2529381827670201</v>
      </c>
      <c r="C874">
        <v>1.52950769807279</v>
      </c>
      <c r="D874">
        <f t="shared" si="257"/>
        <v>0.7234304846942301</v>
      </c>
      <c r="E874" s="1">
        <f t="shared" si="258"/>
        <v>0.47298257184698506</v>
      </c>
      <c r="I874" t="s">
        <v>4</v>
      </c>
      <c r="J874" s="1">
        <f t="shared" si="259"/>
        <v>0.47298257184698506</v>
      </c>
      <c r="K874" s="1">
        <f t="shared" si="260"/>
        <v>0.47546453114294873</v>
      </c>
      <c r="U874" s="1">
        <f t="shared" si="256"/>
        <v>0.46623771331626229</v>
      </c>
    </row>
    <row r="875" spans="1:25" x14ac:dyDescent="0.25">
      <c r="A875" t="s">
        <v>5</v>
      </c>
      <c r="B875">
        <v>2.2544637376783001</v>
      </c>
      <c r="C875">
        <v>1.5375840610314599</v>
      </c>
      <c r="D875">
        <f t="shared" si="257"/>
        <v>0.71687967664684016</v>
      </c>
      <c r="E875" s="1">
        <f t="shared" si="258"/>
        <v>0.46623771331626229</v>
      </c>
      <c r="I875" t="s">
        <v>5</v>
      </c>
      <c r="J875" s="1">
        <f t="shared" si="259"/>
        <v>0.46623771331626229</v>
      </c>
      <c r="K875" s="1">
        <f t="shared" si="260"/>
        <v>0.46204406931445446</v>
      </c>
      <c r="U875" s="1">
        <f t="shared" si="256"/>
        <v>0.45320500428904531</v>
      </c>
    </row>
    <row r="876" spans="1:25" x14ac:dyDescent="0.25">
      <c r="A876" t="s">
        <v>6</v>
      </c>
      <c r="B876">
        <v>2.2649138623448799</v>
      </c>
      <c r="C876">
        <v>1.55856459044672</v>
      </c>
      <c r="D876">
        <f t="shared" si="257"/>
        <v>0.70634927189815988</v>
      </c>
      <c r="E876" s="1">
        <f t="shared" si="258"/>
        <v>0.45320500428904531</v>
      </c>
      <c r="I876" t="s">
        <v>6</v>
      </c>
      <c r="J876" s="1">
        <f t="shared" si="259"/>
        <v>0.45320500428904531</v>
      </c>
      <c r="K876" s="1">
        <f t="shared" si="260"/>
        <v>0.44726416961514442</v>
      </c>
      <c r="U876" s="1">
        <f t="shared" si="256"/>
        <v>0.44866011130408728</v>
      </c>
    </row>
    <row r="877" spans="1:25" x14ac:dyDescent="0.25">
      <c r="A877" t="s">
        <v>7</v>
      </c>
      <c r="B877">
        <v>2.27417471734215</v>
      </c>
      <c r="C877">
        <v>1.56984699143468</v>
      </c>
      <c r="D877">
        <f t="shared" si="257"/>
        <v>0.70432772590747006</v>
      </c>
      <c r="E877" s="1">
        <f t="shared" si="258"/>
        <v>0.44866011130408728</v>
      </c>
      <c r="I877" t="s">
        <v>7</v>
      </c>
      <c r="J877" s="1">
        <f t="shared" si="259"/>
        <v>0.44866011130408728</v>
      </c>
      <c r="K877" s="1">
        <f t="shared" si="260"/>
        <v>0.43805040005221013</v>
      </c>
      <c r="U877" s="1">
        <f t="shared" si="256"/>
        <v>0.43761664326967908</v>
      </c>
    </row>
    <row r="878" spans="1:25" x14ac:dyDescent="0.25">
      <c r="A878" t="s">
        <v>8</v>
      </c>
      <c r="B878">
        <v>2.2770187823969401</v>
      </c>
      <c r="C878">
        <v>1.58388454464338</v>
      </c>
      <c r="D878">
        <f t="shared" si="257"/>
        <v>0.69313423775356009</v>
      </c>
      <c r="E878" s="1">
        <f t="shared" si="258"/>
        <v>0.43761664326967908</v>
      </c>
      <c r="I878" t="s">
        <v>8</v>
      </c>
      <c r="J878" s="1">
        <f t="shared" si="259"/>
        <v>0.43761664326967908</v>
      </c>
      <c r="K878" s="1">
        <f t="shared" si="260"/>
        <v>0.43419878056338629</v>
      </c>
      <c r="U878" s="1">
        <f t="shared" si="256"/>
        <v>0.39182109131234988</v>
      </c>
    </row>
    <row r="879" spans="1:25" x14ac:dyDescent="0.25">
      <c r="A879" t="s">
        <v>9</v>
      </c>
      <c r="B879">
        <v>2.30155858410158</v>
      </c>
      <c r="C879">
        <v>1.6536310582356799</v>
      </c>
      <c r="D879">
        <f t="shared" si="257"/>
        <v>0.64792752586590008</v>
      </c>
      <c r="E879" s="1">
        <f t="shared" si="258"/>
        <v>0.39182109131234988</v>
      </c>
      <c r="I879" t="s">
        <v>9</v>
      </c>
      <c r="J879" s="1">
        <f t="shared" si="259"/>
        <v>0.39182109131234988</v>
      </c>
      <c r="K879" s="1">
        <f t="shared" si="260"/>
        <v>0.38888303001629282</v>
      </c>
      <c r="U879" s="1">
        <f t="shared" si="256"/>
        <v>0.31635082225213684</v>
      </c>
    </row>
    <row r="880" spans="1:25" x14ac:dyDescent="0.25">
      <c r="A880" t="s">
        <v>10</v>
      </c>
      <c r="B880">
        <v>2.34433461819446</v>
      </c>
      <c r="C880">
        <v>1.7809345187961001</v>
      </c>
      <c r="D880">
        <f t="shared" si="257"/>
        <v>0.56340009939835989</v>
      </c>
      <c r="E880" s="1">
        <f t="shared" si="258"/>
        <v>0.31635082225213684</v>
      </c>
      <c r="I880" t="s">
        <v>10</v>
      </c>
      <c r="J880" s="1">
        <f t="shared" si="259"/>
        <v>0.31635082225213684</v>
      </c>
      <c r="K880" s="1">
        <f t="shared" si="260"/>
        <v>0.30728210423847963</v>
      </c>
      <c r="U880" s="1">
        <f t="shared" si="256"/>
        <v>1.0287981978019984</v>
      </c>
    </row>
    <row r="881" spans="1:21" x14ac:dyDescent="0.25">
      <c r="A881" t="s">
        <v>11</v>
      </c>
      <c r="B881">
        <v>7.5219921615353398</v>
      </c>
      <c r="C881">
        <v>3.7076098399952602</v>
      </c>
      <c r="D881">
        <f t="shared" si="257"/>
        <v>3.8143823215400796</v>
      </c>
      <c r="E881" s="1">
        <f t="shared" si="258"/>
        <v>1.0287981978019984</v>
      </c>
      <c r="I881" t="s">
        <v>11</v>
      </c>
      <c r="J881" s="1">
        <f t="shared" si="259"/>
        <v>1.0287981978019984</v>
      </c>
      <c r="K881" s="1">
        <f t="shared" si="260"/>
        <v>1.0110965419938096</v>
      </c>
      <c r="U881" s="1">
        <f t="shared" ref="U881:U890" si="261">K872</f>
        <v>0.49707376329465464</v>
      </c>
    </row>
    <row r="882" spans="1:21" x14ac:dyDescent="0.25">
      <c r="U882" s="1">
        <f t="shared" si="261"/>
        <v>0.46873100658212286</v>
      </c>
    </row>
    <row r="883" spans="1:21" x14ac:dyDescent="0.25">
      <c r="U883" s="1">
        <f t="shared" si="261"/>
        <v>0.47546453114294873</v>
      </c>
    </row>
    <row r="884" spans="1:21" x14ac:dyDescent="0.25">
      <c r="A884" t="s">
        <v>1</v>
      </c>
      <c r="B884" t="s">
        <v>14</v>
      </c>
      <c r="C884" t="s">
        <v>13</v>
      </c>
      <c r="I884" t="s">
        <v>19</v>
      </c>
      <c r="J884" s="2">
        <f>AVERAGE(J872:J881)</f>
        <v>0.50016132486496701</v>
      </c>
      <c r="K884" s="2">
        <f>AVERAGE(K872:K881)</f>
        <v>0.49300883968135034</v>
      </c>
      <c r="U884" s="1">
        <f t="shared" si="261"/>
        <v>0.46204406931445446</v>
      </c>
    </row>
    <row r="885" spans="1:21" x14ac:dyDescent="0.25">
      <c r="A885" t="s">
        <v>2</v>
      </c>
      <c r="B885">
        <v>2.2083283342435802</v>
      </c>
      <c r="C885">
        <v>1.47509654392957</v>
      </c>
      <c r="D885">
        <f t="shared" ref="D885:D894" si="262">B885-C885</f>
        <v>0.7332317903140102</v>
      </c>
      <c r="E885" s="1">
        <f t="shared" ref="E885:E894" si="263">D885/C885</f>
        <v>0.49707376329465464</v>
      </c>
      <c r="N885" t="s">
        <v>20</v>
      </c>
      <c r="O885" s="2">
        <f>MIN(U871:U890)</f>
        <v>0.30728210423847963</v>
      </c>
      <c r="U885" s="1">
        <f t="shared" si="261"/>
        <v>0.44726416961514442</v>
      </c>
    </row>
    <row r="886" spans="1:21" x14ac:dyDescent="0.25">
      <c r="A886" t="s">
        <v>3</v>
      </c>
      <c r="B886">
        <v>2.22556731233691</v>
      </c>
      <c r="C886">
        <v>1.5152994676104901</v>
      </c>
      <c r="D886">
        <f t="shared" si="262"/>
        <v>0.71026784472641991</v>
      </c>
      <c r="E886" s="1">
        <f t="shared" si="263"/>
        <v>0.46873100658212286</v>
      </c>
      <c r="N886" t="s">
        <v>21</v>
      </c>
      <c r="O886" s="2">
        <f>MAX(U871:U890)</f>
        <v>1.0287981978019984</v>
      </c>
      <c r="U886" s="1">
        <f t="shared" si="261"/>
        <v>0.43805040005221013</v>
      </c>
    </row>
    <row r="887" spans="1:21" x14ac:dyDescent="0.25">
      <c r="A887" t="s">
        <v>4</v>
      </c>
      <c r="B887">
        <v>2.2567343586164998</v>
      </c>
      <c r="C887">
        <v>1.52950769807279</v>
      </c>
      <c r="D887">
        <f t="shared" si="262"/>
        <v>0.72722666054370988</v>
      </c>
      <c r="E887" s="1">
        <f t="shared" si="263"/>
        <v>0.47546453114294873</v>
      </c>
      <c r="N887" t="s">
        <v>22</v>
      </c>
      <c r="O887" s="2">
        <f>AVERAGE(U871:U890)</f>
        <v>0.49658508227315884</v>
      </c>
      <c r="U887" s="1">
        <f t="shared" si="261"/>
        <v>0.43419878056338629</v>
      </c>
    </row>
    <row r="888" spans="1:21" x14ac:dyDescent="0.25">
      <c r="A888" t="s">
        <v>5</v>
      </c>
      <c r="B888">
        <v>2.2480156575034802</v>
      </c>
      <c r="C888">
        <v>1.5375840610314599</v>
      </c>
      <c r="D888">
        <f t="shared" si="262"/>
        <v>0.71043159647202025</v>
      </c>
      <c r="E888" s="1">
        <f t="shared" si="263"/>
        <v>0.46204406931445446</v>
      </c>
      <c r="U888" s="1">
        <f t="shared" si="261"/>
        <v>0.38888303001629282</v>
      </c>
    </row>
    <row r="889" spans="1:21" x14ac:dyDescent="0.25">
      <c r="A889" t="s">
        <v>6</v>
      </c>
      <c r="B889">
        <v>2.2556546877844399</v>
      </c>
      <c r="C889">
        <v>1.55856459044672</v>
      </c>
      <c r="D889">
        <f t="shared" si="262"/>
        <v>0.69709009733771987</v>
      </c>
      <c r="E889" s="1">
        <f t="shared" si="263"/>
        <v>0.44726416961514442</v>
      </c>
      <c r="U889" s="1">
        <f t="shared" si="261"/>
        <v>0.30728210423847963</v>
      </c>
    </row>
    <row r="890" spans="1:21" x14ac:dyDescent="0.25">
      <c r="A890" t="s">
        <v>7</v>
      </c>
      <c r="B890">
        <v>2.2575190940534</v>
      </c>
      <c r="C890">
        <v>1.56984699143468</v>
      </c>
      <c r="D890">
        <f t="shared" si="262"/>
        <v>0.68767210261872003</v>
      </c>
      <c r="E890" s="1">
        <f t="shared" si="263"/>
        <v>0.43805040005221013</v>
      </c>
      <c r="U890" s="1">
        <f t="shared" si="261"/>
        <v>1.0110965419938096</v>
      </c>
    </row>
    <row r="891" spans="1:21" x14ac:dyDescent="0.25">
      <c r="A891" t="s">
        <v>8</v>
      </c>
      <c r="B891">
        <v>2.27160528248073</v>
      </c>
      <c r="C891">
        <v>1.58388454464338</v>
      </c>
      <c r="D891">
        <f t="shared" si="262"/>
        <v>0.68772073783734999</v>
      </c>
      <c r="E891" s="1">
        <f t="shared" si="263"/>
        <v>0.43419878056338629</v>
      </c>
    </row>
    <row r="892" spans="1:21" x14ac:dyDescent="0.25">
      <c r="A892" t="s">
        <v>9</v>
      </c>
      <c r="B892">
        <v>2.2967001146914199</v>
      </c>
      <c r="C892">
        <v>1.6536310582356799</v>
      </c>
      <c r="D892">
        <f t="shared" si="262"/>
        <v>0.64306905645573997</v>
      </c>
      <c r="E892" s="1">
        <f t="shared" si="263"/>
        <v>0.38888303001629282</v>
      </c>
    </row>
    <row r="893" spans="1:21" x14ac:dyDescent="0.25">
      <c r="A893" t="s">
        <v>10</v>
      </c>
      <c r="B893">
        <v>2.3281838252427098</v>
      </c>
      <c r="C893">
        <v>1.7809345187961001</v>
      </c>
      <c r="D893">
        <f t="shared" si="262"/>
        <v>0.54724930644660974</v>
      </c>
      <c r="E893" s="1">
        <f t="shared" si="263"/>
        <v>0.30728210423847963</v>
      </c>
    </row>
    <row r="894" spans="1:21" x14ac:dyDescent="0.25">
      <c r="A894" t="s">
        <v>11</v>
      </c>
      <c r="B894">
        <v>7.4563613282766896</v>
      </c>
      <c r="C894">
        <v>3.7076098399952602</v>
      </c>
      <c r="D894">
        <f t="shared" si="262"/>
        <v>3.7487514882814295</v>
      </c>
      <c r="E894" s="1">
        <f t="shared" si="263"/>
        <v>1.0110965419938096</v>
      </c>
    </row>
    <row r="896" spans="1:21" x14ac:dyDescent="0.25">
      <c r="A896" s="6" t="s">
        <v>61</v>
      </c>
      <c r="B896" s="6"/>
    </row>
    <row r="898" spans="1:25" x14ac:dyDescent="0.25">
      <c r="A898" t="s">
        <v>1</v>
      </c>
      <c r="B898" t="s">
        <v>12</v>
      </c>
      <c r="C898" t="s">
        <v>13</v>
      </c>
      <c r="E898" t="s">
        <v>15</v>
      </c>
      <c r="I898" t="s">
        <v>16</v>
      </c>
      <c r="J898" t="s">
        <v>17</v>
      </c>
      <c r="K898" t="s">
        <v>18</v>
      </c>
      <c r="U898" s="1">
        <f t="shared" ref="U898:U907" si="264">J899</f>
        <v>1.5349110833030051</v>
      </c>
      <c r="W898" s="2">
        <f>O912</f>
        <v>1.0994933265649167</v>
      </c>
      <c r="X898" s="2">
        <f>O913</f>
        <v>2.4096661003762918</v>
      </c>
      <c r="Y898" s="2">
        <f>O914</f>
        <v>1.5208979397004545</v>
      </c>
    </row>
    <row r="899" spans="1:25" x14ac:dyDescent="0.25">
      <c r="A899" t="s">
        <v>2</v>
      </c>
      <c r="B899">
        <v>10.1691</v>
      </c>
      <c r="C899">
        <v>4.0116199999999997</v>
      </c>
      <c r="D899">
        <f t="shared" ref="D899:D908" si="265">B899-C899</f>
        <v>6.1574800000000005</v>
      </c>
      <c r="E899" s="1">
        <f t="shared" ref="E899:E908" si="266">D899/C899</f>
        <v>1.5349110833030051</v>
      </c>
      <c r="I899" t="s">
        <v>2</v>
      </c>
      <c r="J899" s="1">
        <f t="shared" ref="J899:J908" si="267">E899</f>
        <v>1.5349110833030051</v>
      </c>
      <c r="K899" s="1">
        <f t="shared" ref="K899:K908" si="268">E912</f>
        <v>1.5832456713248015</v>
      </c>
      <c r="U899" s="1">
        <f t="shared" si="264"/>
        <v>1.545230929363649</v>
      </c>
    </row>
    <row r="900" spans="1:25" x14ac:dyDescent="0.25">
      <c r="A900" t="s">
        <v>3</v>
      </c>
      <c r="B900">
        <v>10.3681</v>
      </c>
      <c r="C900">
        <v>4.0735400000000004</v>
      </c>
      <c r="D900">
        <f t="shared" si="265"/>
        <v>6.2945599999999997</v>
      </c>
      <c r="E900" s="1">
        <f t="shared" si="266"/>
        <v>1.545230929363649</v>
      </c>
      <c r="I900" t="s">
        <v>3</v>
      </c>
      <c r="J900" s="1">
        <f t="shared" si="267"/>
        <v>1.545230929363649</v>
      </c>
      <c r="K900" s="1">
        <f t="shared" si="268"/>
        <v>1.4753899556650971</v>
      </c>
      <c r="U900" s="1">
        <f t="shared" si="264"/>
        <v>1.5213831024221041</v>
      </c>
    </row>
    <row r="901" spans="1:25" x14ac:dyDescent="0.25">
      <c r="A901" t="s">
        <v>4</v>
      </c>
      <c r="B901">
        <v>10.234999999999999</v>
      </c>
      <c r="C901">
        <v>4.0592800000000002</v>
      </c>
      <c r="D901">
        <f t="shared" si="265"/>
        <v>6.1757199999999992</v>
      </c>
      <c r="E901" s="1">
        <f t="shared" si="266"/>
        <v>1.5213831024221041</v>
      </c>
      <c r="I901" t="s">
        <v>4</v>
      </c>
      <c r="J901" s="1">
        <f t="shared" si="267"/>
        <v>1.5213831024221041</v>
      </c>
      <c r="K901" s="1">
        <f t="shared" si="268"/>
        <v>1.5144853274472321</v>
      </c>
      <c r="U901" s="1">
        <f t="shared" si="264"/>
        <v>1.5113893963069742</v>
      </c>
    </row>
    <row r="902" spans="1:25" x14ac:dyDescent="0.25">
      <c r="A902" t="s">
        <v>5</v>
      </c>
      <c r="B902">
        <v>10.2699</v>
      </c>
      <c r="C902">
        <v>4.0893300000000004</v>
      </c>
      <c r="D902">
        <f t="shared" si="265"/>
        <v>6.1805699999999995</v>
      </c>
      <c r="E902" s="1">
        <f t="shared" si="266"/>
        <v>1.5113893963069742</v>
      </c>
      <c r="I902" t="s">
        <v>5</v>
      </c>
      <c r="J902" s="1">
        <f t="shared" si="267"/>
        <v>1.5113893963069742</v>
      </c>
      <c r="K902" s="1">
        <f t="shared" si="268"/>
        <v>1.4549253789740615</v>
      </c>
      <c r="U902" s="1">
        <f t="shared" si="264"/>
        <v>1.4385071687600568</v>
      </c>
    </row>
    <row r="903" spans="1:25" x14ac:dyDescent="0.25">
      <c r="A903" t="s">
        <v>6</v>
      </c>
      <c r="B903">
        <v>10.153700000000001</v>
      </c>
      <c r="C903">
        <v>4.1638999999999999</v>
      </c>
      <c r="D903">
        <f t="shared" si="265"/>
        <v>5.9898000000000007</v>
      </c>
      <c r="E903" s="1">
        <f t="shared" si="266"/>
        <v>1.4385071687600568</v>
      </c>
      <c r="I903" t="s">
        <v>6</v>
      </c>
      <c r="J903" s="1">
        <f t="shared" si="267"/>
        <v>1.4385071687600568</v>
      </c>
      <c r="K903" s="1">
        <f t="shared" si="268"/>
        <v>1.4484017387545332</v>
      </c>
      <c r="U903" s="1">
        <f t="shared" si="264"/>
        <v>1.504763844240476</v>
      </c>
    </row>
    <row r="904" spans="1:25" x14ac:dyDescent="0.25">
      <c r="A904" t="s">
        <v>7</v>
      </c>
      <c r="B904">
        <v>10.3317</v>
      </c>
      <c r="C904">
        <v>4.1248199999999997</v>
      </c>
      <c r="D904">
        <f t="shared" si="265"/>
        <v>6.20688</v>
      </c>
      <c r="E904" s="1">
        <f t="shared" si="266"/>
        <v>1.504763844240476</v>
      </c>
      <c r="I904" t="s">
        <v>7</v>
      </c>
      <c r="J904" s="1">
        <f t="shared" si="267"/>
        <v>1.504763844240476</v>
      </c>
      <c r="K904" s="1">
        <f t="shared" si="268"/>
        <v>1.4346759373742373</v>
      </c>
      <c r="U904" s="1">
        <f t="shared" si="264"/>
        <v>1.4620211320349648</v>
      </c>
    </row>
    <row r="905" spans="1:25" x14ac:dyDescent="0.25">
      <c r="A905" t="s">
        <v>8</v>
      </c>
      <c r="B905">
        <v>10.091799999999999</v>
      </c>
      <c r="C905">
        <v>4.0989899999999997</v>
      </c>
      <c r="D905">
        <f t="shared" si="265"/>
        <v>5.9928099999999995</v>
      </c>
      <c r="E905" s="1">
        <f t="shared" si="266"/>
        <v>1.4620211320349648</v>
      </c>
      <c r="I905" t="s">
        <v>8</v>
      </c>
      <c r="J905" s="1">
        <f t="shared" si="267"/>
        <v>1.4620211320349648</v>
      </c>
      <c r="K905" s="1">
        <f t="shared" si="268"/>
        <v>1.4152047211630185</v>
      </c>
      <c r="U905" s="1">
        <f t="shared" si="264"/>
        <v>1.3270861627399078</v>
      </c>
    </row>
    <row r="906" spans="1:25" x14ac:dyDescent="0.25">
      <c r="A906" t="s">
        <v>9</v>
      </c>
      <c r="B906">
        <v>9.7496299999999998</v>
      </c>
      <c r="C906">
        <v>4.1896300000000002</v>
      </c>
      <c r="D906">
        <f t="shared" si="265"/>
        <v>5.56</v>
      </c>
      <c r="E906" s="1">
        <f t="shared" si="266"/>
        <v>1.3270861627399078</v>
      </c>
      <c r="I906" t="s">
        <v>9</v>
      </c>
      <c r="J906" s="1">
        <f t="shared" si="267"/>
        <v>1.3270861627399078</v>
      </c>
      <c r="K906" s="1">
        <f t="shared" si="268"/>
        <v>1.3006255922360683</v>
      </c>
      <c r="U906" s="1">
        <f t="shared" si="264"/>
        <v>1.0994933265649167</v>
      </c>
    </row>
    <row r="907" spans="1:25" x14ac:dyDescent="0.25">
      <c r="A907" t="s">
        <v>10</v>
      </c>
      <c r="B907">
        <v>8.7680299999999995</v>
      </c>
      <c r="C907">
        <v>4.1762600000000001</v>
      </c>
      <c r="D907">
        <f t="shared" si="265"/>
        <v>4.5917699999999995</v>
      </c>
      <c r="E907" s="1">
        <f t="shared" si="266"/>
        <v>1.0994933265649167</v>
      </c>
      <c r="I907" t="s">
        <v>10</v>
      </c>
      <c r="J907" s="1">
        <f t="shared" si="267"/>
        <v>1.0994933265649167</v>
      </c>
      <c r="K907" s="1">
        <f t="shared" si="268"/>
        <v>1.120816232705818</v>
      </c>
      <c r="U907" s="1">
        <f t="shared" si="264"/>
        <v>2.4096661003762918</v>
      </c>
    </row>
    <row r="908" spans="1:25" x14ac:dyDescent="0.25">
      <c r="A908" t="s">
        <v>11</v>
      </c>
      <c r="B908">
        <v>42.950200000000002</v>
      </c>
      <c r="C908">
        <v>12.5966</v>
      </c>
      <c r="D908">
        <f t="shared" si="265"/>
        <v>30.3536</v>
      </c>
      <c r="E908" s="1">
        <f t="shared" si="266"/>
        <v>2.4096661003762918</v>
      </c>
      <c r="I908" t="s">
        <v>11</v>
      </c>
      <c r="J908" s="1">
        <f t="shared" si="267"/>
        <v>2.4096661003762918</v>
      </c>
      <c r="K908" s="1">
        <f t="shared" si="268"/>
        <v>2.3157359922518777</v>
      </c>
      <c r="U908" s="1">
        <f t="shared" ref="U908:U917" si="269">K899</f>
        <v>1.5832456713248015</v>
      </c>
    </row>
    <row r="909" spans="1:25" x14ac:dyDescent="0.25">
      <c r="U909" s="1">
        <f t="shared" si="269"/>
        <v>1.4753899556650971</v>
      </c>
    </row>
    <row r="910" spans="1:25" x14ac:dyDescent="0.25">
      <c r="U910" s="1">
        <f t="shared" si="269"/>
        <v>1.5144853274472321</v>
      </c>
    </row>
    <row r="911" spans="1:25" x14ac:dyDescent="0.25">
      <c r="A911" t="s">
        <v>1</v>
      </c>
      <c r="B911" t="s">
        <v>14</v>
      </c>
      <c r="C911" t="s">
        <v>13</v>
      </c>
      <c r="I911" t="s">
        <v>19</v>
      </c>
      <c r="J911" s="2">
        <f>AVERAGE(J899:J908)</f>
        <v>1.5354452246112344</v>
      </c>
      <c r="K911" s="2">
        <f>AVERAGE(K899:K908)</f>
        <v>1.5063506547896746</v>
      </c>
      <c r="U911" s="1">
        <f t="shared" si="269"/>
        <v>1.4549253789740615</v>
      </c>
    </row>
    <row r="912" spans="1:25" x14ac:dyDescent="0.25">
      <c r="A912" t="s">
        <v>2</v>
      </c>
      <c r="B912">
        <v>10.363</v>
      </c>
      <c r="C912">
        <v>4.0116199999999997</v>
      </c>
      <c r="D912">
        <f t="shared" ref="D912:D921" si="270">B912-C912</f>
        <v>6.3513799999999998</v>
      </c>
      <c r="E912" s="1">
        <f t="shared" ref="E912:E921" si="271">D912/C912</f>
        <v>1.5832456713248015</v>
      </c>
      <c r="N912" t="s">
        <v>20</v>
      </c>
      <c r="O912" s="2">
        <f>MIN(U898:U917)</f>
        <v>1.0994933265649167</v>
      </c>
      <c r="U912" s="1">
        <f t="shared" si="269"/>
        <v>1.4484017387545332</v>
      </c>
    </row>
    <row r="913" spans="1:25" x14ac:dyDescent="0.25">
      <c r="A913" t="s">
        <v>3</v>
      </c>
      <c r="B913">
        <v>10.083600000000001</v>
      </c>
      <c r="C913">
        <v>4.0735400000000004</v>
      </c>
      <c r="D913">
        <f t="shared" si="270"/>
        <v>6.0100600000000002</v>
      </c>
      <c r="E913" s="1">
        <f t="shared" si="271"/>
        <v>1.4753899556650971</v>
      </c>
      <c r="N913" t="s">
        <v>21</v>
      </c>
      <c r="O913" s="2">
        <f>MAX(U898:U917)</f>
        <v>2.4096661003762918</v>
      </c>
      <c r="U913" s="1">
        <f t="shared" si="269"/>
        <v>1.4346759373742373</v>
      </c>
    </row>
    <row r="914" spans="1:25" x14ac:dyDescent="0.25">
      <c r="A914" t="s">
        <v>4</v>
      </c>
      <c r="B914">
        <v>10.207000000000001</v>
      </c>
      <c r="C914">
        <v>4.0592800000000002</v>
      </c>
      <c r="D914">
        <f t="shared" si="270"/>
        <v>6.1477200000000005</v>
      </c>
      <c r="E914" s="1">
        <f t="shared" si="271"/>
        <v>1.5144853274472321</v>
      </c>
      <c r="N914" t="s">
        <v>22</v>
      </c>
      <c r="O914" s="2">
        <f>AVERAGE(U898:U917)</f>
        <v>1.5208979397004545</v>
      </c>
      <c r="U914" s="1">
        <f t="shared" si="269"/>
        <v>1.4152047211630185</v>
      </c>
    </row>
    <row r="915" spans="1:25" x14ac:dyDescent="0.25">
      <c r="A915" t="s">
        <v>5</v>
      </c>
      <c r="B915">
        <v>10.039</v>
      </c>
      <c r="C915">
        <v>4.0893300000000004</v>
      </c>
      <c r="D915">
        <f t="shared" si="270"/>
        <v>5.9496699999999993</v>
      </c>
      <c r="E915" s="1">
        <f t="shared" si="271"/>
        <v>1.4549253789740615</v>
      </c>
      <c r="U915" s="1">
        <f t="shared" si="269"/>
        <v>1.3006255922360683</v>
      </c>
    </row>
    <row r="916" spans="1:25" x14ac:dyDescent="0.25">
      <c r="A916" t="s">
        <v>6</v>
      </c>
      <c r="B916">
        <v>10.194900000000001</v>
      </c>
      <c r="C916">
        <v>4.1638999999999999</v>
      </c>
      <c r="D916">
        <f t="shared" si="270"/>
        <v>6.0310000000000006</v>
      </c>
      <c r="E916" s="1">
        <f t="shared" si="271"/>
        <v>1.4484017387545332</v>
      </c>
      <c r="U916" s="1">
        <f t="shared" si="269"/>
        <v>1.120816232705818</v>
      </c>
    </row>
    <row r="917" spans="1:25" x14ac:dyDescent="0.25">
      <c r="A917" t="s">
        <v>7</v>
      </c>
      <c r="B917">
        <v>10.0426</v>
      </c>
      <c r="C917">
        <v>4.1248199999999997</v>
      </c>
      <c r="D917">
        <f t="shared" si="270"/>
        <v>5.9177800000000005</v>
      </c>
      <c r="E917" s="1">
        <f t="shared" si="271"/>
        <v>1.4346759373742373</v>
      </c>
      <c r="U917" s="1">
        <f t="shared" si="269"/>
        <v>2.3157359922518777</v>
      </c>
    </row>
    <row r="918" spans="1:25" x14ac:dyDescent="0.25">
      <c r="A918" t="s">
        <v>8</v>
      </c>
      <c r="B918">
        <v>9.8999000000000006</v>
      </c>
      <c r="C918">
        <v>4.0989899999999997</v>
      </c>
      <c r="D918">
        <f t="shared" si="270"/>
        <v>5.8009100000000009</v>
      </c>
      <c r="E918" s="1">
        <f t="shared" si="271"/>
        <v>1.4152047211630185</v>
      </c>
    </row>
    <row r="919" spans="1:25" x14ac:dyDescent="0.25">
      <c r="A919" t="s">
        <v>9</v>
      </c>
      <c r="B919">
        <v>9.6387699999999992</v>
      </c>
      <c r="C919">
        <v>4.1896300000000002</v>
      </c>
      <c r="D919">
        <f t="shared" si="270"/>
        <v>5.449139999999999</v>
      </c>
      <c r="E919" s="1">
        <f t="shared" si="271"/>
        <v>1.3006255922360683</v>
      </c>
    </row>
    <row r="920" spans="1:25" x14ac:dyDescent="0.25">
      <c r="A920" t="s">
        <v>10</v>
      </c>
      <c r="B920">
        <v>8.8570799999999998</v>
      </c>
      <c r="C920">
        <v>4.1762600000000001</v>
      </c>
      <c r="D920">
        <f t="shared" si="270"/>
        <v>4.6808199999999998</v>
      </c>
      <c r="E920" s="1">
        <f t="shared" si="271"/>
        <v>1.120816232705818</v>
      </c>
    </row>
    <row r="921" spans="1:25" x14ac:dyDescent="0.25">
      <c r="A921" t="s">
        <v>11</v>
      </c>
      <c r="B921">
        <v>41.767000000000003</v>
      </c>
      <c r="C921">
        <v>12.5966</v>
      </c>
      <c r="D921">
        <f t="shared" si="270"/>
        <v>29.170400000000001</v>
      </c>
      <c r="E921" s="1">
        <f t="shared" si="271"/>
        <v>2.3157359922518777</v>
      </c>
    </row>
    <row r="923" spans="1:25" x14ac:dyDescent="0.25">
      <c r="A923" s="6" t="s">
        <v>62</v>
      </c>
      <c r="B923" s="6"/>
    </row>
    <row r="925" spans="1:25" x14ac:dyDescent="0.25">
      <c r="A925" t="s">
        <v>1</v>
      </c>
      <c r="B925" t="s">
        <v>12</v>
      </c>
      <c r="C925" t="s">
        <v>13</v>
      </c>
      <c r="E925" t="s">
        <v>15</v>
      </c>
      <c r="I925" t="s">
        <v>16</v>
      </c>
      <c r="J925" t="s">
        <v>17</v>
      </c>
      <c r="K925" t="s">
        <v>18</v>
      </c>
      <c r="U925" s="1">
        <f t="shared" ref="U925:U934" si="272">J926</f>
        <v>0.89733536397755198</v>
      </c>
      <c r="W925" s="2">
        <f>O939</f>
        <v>0.55154559292481697</v>
      </c>
      <c r="X925" s="2">
        <f>O940</f>
        <v>0.98578393432814115</v>
      </c>
      <c r="Y925" s="2">
        <f>O941</f>
        <v>0.78809794159571722</v>
      </c>
    </row>
    <row r="926" spans="1:25" x14ac:dyDescent="0.25">
      <c r="A926" t="s">
        <v>2</v>
      </c>
      <c r="B926">
        <v>3.5055906237558001</v>
      </c>
      <c r="C926">
        <v>1.84763889943353</v>
      </c>
      <c r="D926">
        <f t="shared" ref="D926:D935" si="273">B926-C926</f>
        <v>1.6579517243222701</v>
      </c>
      <c r="E926" s="1">
        <f t="shared" ref="E926:E935" si="274">D926/C926</f>
        <v>0.89733536397755198</v>
      </c>
      <c r="I926" t="s">
        <v>2</v>
      </c>
      <c r="J926" s="1">
        <f t="shared" ref="J926:J935" si="275">E926</f>
        <v>0.89733536397755198</v>
      </c>
      <c r="K926" s="1">
        <f t="shared" ref="K926:K935" si="276">E939</f>
        <v>0.82142955850853494</v>
      </c>
      <c r="U926" s="1">
        <f t="shared" si="272"/>
        <v>0.85594442881953325</v>
      </c>
    </row>
    <row r="927" spans="1:25" x14ac:dyDescent="0.25">
      <c r="A927" t="s">
        <v>3</v>
      </c>
      <c r="B927">
        <v>3.49818536017104</v>
      </c>
      <c r="C927">
        <v>1.88485458177002</v>
      </c>
      <c r="D927">
        <f t="shared" si="273"/>
        <v>1.61333077840102</v>
      </c>
      <c r="E927" s="1">
        <f t="shared" si="274"/>
        <v>0.85594442881953325</v>
      </c>
      <c r="I927" t="s">
        <v>3</v>
      </c>
      <c r="J927" s="1">
        <f t="shared" si="275"/>
        <v>0.85594442881953325</v>
      </c>
      <c r="K927" s="1">
        <f t="shared" si="276"/>
        <v>0.80167908591397641</v>
      </c>
      <c r="U927" s="1">
        <f t="shared" si="272"/>
        <v>0.84595666346623999</v>
      </c>
    </row>
    <row r="928" spans="1:25" x14ac:dyDescent="0.25">
      <c r="A928" t="s">
        <v>4</v>
      </c>
      <c r="B928">
        <v>3.5205436732286501</v>
      </c>
      <c r="C928">
        <v>1.9071648554403</v>
      </c>
      <c r="D928">
        <f t="shared" si="273"/>
        <v>1.6133788177883501</v>
      </c>
      <c r="E928" s="1">
        <f t="shared" si="274"/>
        <v>0.84595666346623999</v>
      </c>
      <c r="I928" t="s">
        <v>4</v>
      </c>
      <c r="J928" s="1">
        <f t="shared" si="275"/>
        <v>0.84595666346623999</v>
      </c>
      <c r="K928" s="1">
        <f t="shared" si="276"/>
        <v>0.77848003203738014</v>
      </c>
      <c r="U928" s="1">
        <f t="shared" si="272"/>
        <v>0.84297773216320571</v>
      </c>
    </row>
    <row r="929" spans="1:21" x14ac:dyDescent="0.25">
      <c r="A929" t="s">
        <v>5</v>
      </c>
      <c r="B929">
        <v>3.51317634667845</v>
      </c>
      <c r="C929">
        <v>1.9062500242772</v>
      </c>
      <c r="D929">
        <f t="shared" si="273"/>
        <v>1.60692632240125</v>
      </c>
      <c r="E929" s="1">
        <f t="shared" si="274"/>
        <v>0.84297773216320571</v>
      </c>
      <c r="I929" t="s">
        <v>5</v>
      </c>
      <c r="J929" s="1">
        <f t="shared" si="275"/>
        <v>0.84297773216320571</v>
      </c>
      <c r="K929" s="1">
        <f t="shared" si="276"/>
        <v>0.7770704884202515</v>
      </c>
      <c r="U929" s="1">
        <f t="shared" si="272"/>
        <v>0.82711552129291466</v>
      </c>
    </row>
    <row r="930" spans="1:21" x14ac:dyDescent="0.25">
      <c r="A930" t="s">
        <v>6</v>
      </c>
      <c r="B930">
        <v>3.5100521322716198</v>
      </c>
      <c r="C930">
        <v>1.9210893298020999</v>
      </c>
      <c r="D930">
        <f t="shared" si="273"/>
        <v>1.5889628024695199</v>
      </c>
      <c r="E930" s="1">
        <f t="shared" si="274"/>
        <v>0.82711552129291466</v>
      </c>
      <c r="I930" t="s">
        <v>6</v>
      </c>
      <c r="J930" s="1">
        <f t="shared" si="275"/>
        <v>0.82711552129291466</v>
      </c>
      <c r="K930" s="1">
        <f t="shared" si="276"/>
        <v>0.76521939728741672</v>
      </c>
      <c r="U930" s="1">
        <f t="shared" si="272"/>
        <v>0.8058325552662674</v>
      </c>
    </row>
    <row r="931" spans="1:21" x14ac:dyDescent="0.25">
      <c r="A931" t="s">
        <v>7</v>
      </c>
      <c r="B931">
        <v>3.4913883565582702</v>
      </c>
      <c r="C931">
        <v>1.9333954005738201</v>
      </c>
      <c r="D931">
        <f t="shared" si="273"/>
        <v>1.5579929559844501</v>
      </c>
      <c r="E931" s="1">
        <f t="shared" si="274"/>
        <v>0.8058325552662674</v>
      </c>
      <c r="I931" t="s">
        <v>7</v>
      </c>
      <c r="J931" s="1">
        <f t="shared" si="275"/>
        <v>0.8058325552662674</v>
      </c>
      <c r="K931" s="1">
        <f t="shared" si="276"/>
        <v>0.75048736281166539</v>
      </c>
      <c r="U931" s="1">
        <f t="shared" si="272"/>
        <v>0.78897978031534544</v>
      </c>
    </row>
    <row r="932" spans="1:21" x14ac:dyDescent="0.25">
      <c r="A932" t="s">
        <v>8</v>
      </c>
      <c r="B932">
        <v>3.4760985159244999</v>
      </c>
      <c r="C932">
        <v>1.94306193629073</v>
      </c>
      <c r="D932">
        <f t="shared" si="273"/>
        <v>1.5330365796337699</v>
      </c>
      <c r="E932" s="1">
        <f t="shared" si="274"/>
        <v>0.78897978031534544</v>
      </c>
      <c r="I932" t="s">
        <v>8</v>
      </c>
      <c r="J932" s="1">
        <f t="shared" si="275"/>
        <v>0.78897978031534544</v>
      </c>
      <c r="K932" s="1">
        <f t="shared" si="276"/>
        <v>0.75287649392310785</v>
      </c>
      <c r="U932" s="1">
        <f t="shared" si="272"/>
        <v>0.69069850688024281</v>
      </c>
    </row>
    <row r="933" spans="1:21" x14ac:dyDescent="0.25">
      <c r="A933" t="s">
        <v>9</v>
      </c>
      <c r="B933">
        <v>3.42440716360686</v>
      </c>
      <c r="C933">
        <v>2.0254392783049999</v>
      </c>
      <c r="D933">
        <f t="shared" si="273"/>
        <v>1.3989678853018601</v>
      </c>
      <c r="E933" s="1">
        <f t="shared" si="274"/>
        <v>0.69069850688024281</v>
      </c>
      <c r="I933" t="s">
        <v>9</v>
      </c>
      <c r="J933" s="1">
        <f t="shared" si="275"/>
        <v>0.69069850688024281</v>
      </c>
      <c r="K933" s="1">
        <f t="shared" si="276"/>
        <v>0.67755602334780807</v>
      </c>
      <c r="U933" s="1">
        <f t="shared" si="272"/>
        <v>0.57753319588701757</v>
      </c>
    </row>
    <row r="934" spans="1:21" x14ac:dyDescent="0.25">
      <c r="A934" t="s">
        <v>10</v>
      </c>
      <c r="B934">
        <v>3.4208932610779299</v>
      </c>
      <c r="C934">
        <v>2.1685079401162302</v>
      </c>
      <c r="D934">
        <f t="shared" si="273"/>
        <v>1.2523853209616997</v>
      </c>
      <c r="E934" s="1">
        <f t="shared" si="274"/>
        <v>0.57753319588701757</v>
      </c>
      <c r="I934" t="s">
        <v>10</v>
      </c>
      <c r="J934" s="1">
        <f t="shared" si="275"/>
        <v>0.57753319588701757</v>
      </c>
      <c r="K934" s="1">
        <f t="shared" si="276"/>
        <v>0.55154559292481697</v>
      </c>
      <c r="U934" s="1">
        <f t="shared" si="272"/>
        <v>0.96745711434292359</v>
      </c>
    </row>
    <row r="935" spans="1:21" x14ac:dyDescent="0.25">
      <c r="A935" t="s">
        <v>11</v>
      </c>
      <c r="B935">
        <v>10.5155607814803</v>
      </c>
      <c r="C935">
        <v>5.3447471382328997</v>
      </c>
      <c r="D935">
        <f t="shared" si="273"/>
        <v>5.1708136432474001</v>
      </c>
      <c r="E935" s="1">
        <f t="shared" si="274"/>
        <v>0.96745711434292359</v>
      </c>
      <c r="I935" t="s">
        <v>11</v>
      </c>
      <c r="J935" s="1">
        <f t="shared" si="275"/>
        <v>0.96745711434292359</v>
      </c>
      <c r="K935" s="1">
        <f t="shared" si="276"/>
        <v>0.98578393432814115</v>
      </c>
      <c r="U935" s="1">
        <f t="shared" ref="U935:U944" si="277">K926</f>
        <v>0.82142955850853494</v>
      </c>
    </row>
    <row r="936" spans="1:21" x14ac:dyDescent="0.25">
      <c r="U936" s="1">
        <f t="shared" si="277"/>
        <v>0.80167908591397641</v>
      </c>
    </row>
    <row r="937" spans="1:21" x14ac:dyDescent="0.25">
      <c r="U937" s="1">
        <f t="shared" si="277"/>
        <v>0.77848003203738014</v>
      </c>
    </row>
    <row r="938" spans="1:21" x14ac:dyDescent="0.25">
      <c r="A938" t="s">
        <v>1</v>
      </c>
      <c r="B938" t="s">
        <v>14</v>
      </c>
      <c r="C938" t="s">
        <v>13</v>
      </c>
      <c r="I938" t="s">
        <v>19</v>
      </c>
      <c r="J938" s="2">
        <f>AVERAGE(J926:J935)</f>
        <v>0.80998308624112414</v>
      </c>
      <c r="K938" s="2">
        <f>AVERAGE(K926:K935)</f>
        <v>0.76621279695030986</v>
      </c>
      <c r="U938" s="1">
        <f t="shared" si="277"/>
        <v>0.7770704884202515</v>
      </c>
    </row>
    <row r="939" spans="1:21" x14ac:dyDescent="0.25">
      <c r="A939" t="s">
        <v>2</v>
      </c>
      <c r="B939">
        <v>3.3653441048784098</v>
      </c>
      <c r="C939">
        <v>1.84763889943353</v>
      </c>
      <c r="D939">
        <f t="shared" ref="D939:D948" si="278">B939-C939</f>
        <v>1.5177052054448799</v>
      </c>
      <c r="E939" s="1">
        <f t="shared" ref="E939:E948" si="279">D939/C939</f>
        <v>0.82142955850853494</v>
      </c>
      <c r="N939" t="s">
        <v>20</v>
      </c>
      <c r="O939" s="2">
        <f>MIN(U925:U944)</f>
        <v>0.55154559292481697</v>
      </c>
      <c r="U939" s="1">
        <f t="shared" si="277"/>
        <v>0.76521939728741672</v>
      </c>
    </row>
    <row r="940" spans="1:21" x14ac:dyDescent="0.25">
      <c r="A940" t="s">
        <v>3</v>
      </c>
      <c r="B940">
        <v>3.3959030799641798</v>
      </c>
      <c r="C940">
        <v>1.88485458177002</v>
      </c>
      <c r="D940">
        <f t="shared" si="278"/>
        <v>1.5110484981941599</v>
      </c>
      <c r="E940" s="1">
        <f t="shared" si="279"/>
        <v>0.80167908591397641</v>
      </c>
      <c r="N940" t="s">
        <v>21</v>
      </c>
      <c r="O940" s="2">
        <f>MAX(U925:U944)</f>
        <v>0.98578393432814115</v>
      </c>
      <c r="U940" s="1">
        <f t="shared" si="277"/>
        <v>0.75048736281166539</v>
      </c>
    </row>
    <row r="941" spans="1:21" x14ac:dyDescent="0.25">
      <c r="A941" t="s">
        <v>4</v>
      </c>
      <c r="B941">
        <v>3.3918546132040301</v>
      </c>
      <c r="C941">
        <v>1.9071648554403</v>
      </c>
      <c r="D941">
        <f t="shared" si="278"/>
        <v>1.4846897577637301</v>
      </c>
      <c r="E941" s="1">
        <f t="shared" si="279"/>
        <v>0.77848003203738014</v>
      </c>
      <c r="N941" t="s">
        <v>22</v>
      </c>
      <c r="O941" s="2">
        <f>AVERAGE(U925:U944)</f>
        <v>0.78809794159571722</v>
      </c>
      <c r="U941" s="1">
        <f t="shared" si="277"/>
        <v>0.75287649392310785</v>
      </c>
    </row>
    <row r="942" spans="1:21" x14ac:dyDescent="0.25">
      <c r="A942" t="s">
        <v>5</v>
      </c>
      <c r="B942">
        <v>3.3875406616934001</v>
      </c>
      <c r="C942">
        <v>1.9062500242772</v>
      </c>
      <c r="D942">
        <f t="shared" si="278"/>
        <v>1.4812906374162</v>
      </c>
      <c r="E942" s="1">
        <f t="shared" si="279"/>
        <v>0.7770704884202515</v>
      </c>
      <c r="U942" s="1">
        <f t="shared" si="277"/>
        <v>0.67755602334780807</v>
      </c>
    </row>
    <row r="943" spans="1:21" x14ac:dyDescent="0.25">
      <c r="A943" t="s">
        <v>6</v>
      </c>
      <c r="B943">
        <v>3.3911441488885501</v>
      </c>
      <c r="C943">
        <v>1.9210893298020999</v>
      </c>
      <c r="D943">
        <f t="shared" si="278"/>
        <v>1.4700548190864502</v>
      </c>
      <c r="E943" s="1">
        <f t="shared" si="279"/>
        <v>0.76521939728741672</v>
      </c>
      <c r="U943" s="1">
        <f t="shared" si="277"/>
        <v>0.55154559292481697</v>
      </c>
    </row>
    <row r="944" spans="1:21" x14ac:dyDescent="0.25">
      <c r="A944" t="s">
        <v>7</v>
      </c>
      <c r="B944">
        <v>3.3843842160226698</v>
      </c>
      <c r="C944">
        <v>1.9333954005738201</v>
      </c>
      <c r="D944">
        <f t="shared" si="278"/>
        <v>1.4509888154488497</v>
      </c>
      <c r="E944" s="1">
        <f t="shared" si="279"/>
        <v>0.75048736281166539</v>
      </c>
      <c r="U944" s="1">
        <f t="shared" si="277"/>
        <v>0.98578393432814115</v>
      </c>
    </row>
    <row r="945" spans="1:25" x14ac:dyDescent="0.25">
      <c r="A945" t="s">
        <v>8</v>
      </c>
      <c r="B945">
        <v>3.40594759436074</v>
      </c>
      <c r="C945">
        <v>1.94306193629073</v>
      </c>
      <c r="D945">
        <f t="shared" si="278"/>
        <v>1.46288565807001</v>
      </c>
      <c r="E945" s="1">
        <f t="shared" si="279"/>
        <v>0.75287649392310785</v>
      </c>
    </row>
    <row r="946" spans="1:25" x14ac:dyDescent="0.25">
      <c r="A946" t="s">
        <v>9</v>
      </c>
      <c r="B946">
        <v>3.3977878612457899</v>
      </c>
      <c r="C946">
        <v>2.0254392783049999</v>
      </c>
      <c r="D946">
        <f t="shared" si="278"/>
        <v>1.37234858294079</v>
      </c>
      <c r="E946" s="1">
        <f t="shared" si="279"/>
        <v>0.67755602334780807</v>
      </c>
    </row>
    <row r="947" spans="1:25" x14ac:dyDescent="0.25">
      <c r="A947" t="s">
        <v>10</v>
      </c>
      <c r="B947">
        <v>3.3645389377098098</v>
      </c>
      <c r="C947">
        <v>2.1685079401162302</v>
      </c>
      <c r="D947">
        <f t="shared" si="278"/>
        <v>1.1960309975935797</v>
      </c>
      <c r="E947" s="1">
        <f t="shared" si="279"/>
        <v>0.55154559292481697</v>
      </c>
    </row>
    <row r="948" spans="1:25" x14ac:dyDescent="0.25">
      <c r="A948" t="s">
        <v>11</v>
      </c>
      <c r="B948">
        <v>10.613513000149201</v>
      </c>
      <c r="C948">
        <v>5.3447471382328997</v>
      </c>
      <c r="D948">
        <f t="shared" si="278"/>
        <v>5.2687658619163011</v>
      </c>
      <c r="E948" s="1">
        <f t="shared" si="279"/>
        <v>0.98578393432814115</v>
      </c>
    </row>
    <row r="950" spans="1:25" x14ac:dyDescent="0.25">
      <c r="A950" s="6" t="s">
        <v>63</v>
      </c>
      <c r="B950" s="6"/>
    </row>
    <row r="952" spans="1:25" x14ac:dyDescent="0.25">
      <c r="A952" t="s">
        <v>1</v>
      </c>
      <c r="B952" t="s">
        <v>12</v>
      </c>
      <c r="C952" t="s">
        <v>13</v>
      </c>
      <c r="E952" t="s">
        <v>15</v>
      </c>
      <c r="I952" t="s">
        <v>16</v>
      </c>
      <c r="J952" t="s">
        <v>17</v>
      </c>
      <c r="K952" t="s">
        <v>18</v>
      </c>
      <c r="U952" s="1">
        <f t="shared" ref="U952:U961" si="280">J953</f>
        <v>2.3354981400702122</v>
      </c>
      <c r="W952" s="2">
        <f>O966</f>
        <v>1.3406321592537493</v>
      </c>
      <c r="X952" s="2">
        <f>O967</f>
        <v>2.3354981400702122</v>
      </c>
      <c r="Y952" s="2">
        <f>O968</f>
        <v>1.8953326813294757</v>
      </c>
    </row>
    <row r="953" spans="1:25" x14ac:dyDescent="0.25">
      <c r="A953" t="s">
        <v>2</v>
      </c>
      <c r="B953">
        <v>18.4894</v>
      </c>
      <c r="C953">
        <v>5.5432199999999998</v>
      </c>
      <c r="D953">
        <f t="shared" ref="D953:D962" si="281">B953-C953</f>
        <v>12.94618</v>
      </c>
      <c r="E953" s="1">
        <f t="shared" ref="E953:E962" si="282">D953/C953</f>
        <v>2.3354981400702122</v>
      </c>
      <c r="I953" t="s">
        <v>2</v>
      </c>
      <c r="J953" s="1">
        <f t="shared" ref="J953:J962" si="283">E953</f>
        <v>2.3354981400702122</v>
      </c>
      <c r="K953" s="1">
        <f t="shared" ref="K953:K962" si="284">E966</f>
        <v>1.5605694884922481</v>
      </c>
      <c r="U953" s="1">
        <f t="shared" si="280"/>
        <v>2.2769937525611623</v>
      </c>
    </row>
    <row r="954" spans="1:25" x14ac:dyDescent="0.25">
      <c r="A954" t="s">
        <v>3</v>
      </c>
      <c r="B954">
        <v>18.232800000000001</v>
      </c>
      <c r="C954">
        <v>5.5638800000000002</v>
      </c>
      <c r="D954">
        <f t="shared" si="281"/>
        <v>12.66892</v>
      </c>
      <c r="E954" s="1">
        <f t="shared" si="282"/>
        <v>2.2769937525611623</v>
      </c>
      <c r="I954" t="s">
        <v>3</v>
      </c>
      <c r="J954" s="1">
        <f t="shared" si="283"/>
        <v>2.2769937525611623</v>
      </c>
      <c r="K954" s="1">
        <f t="shared" si="284"/>
        <v>1.5024802835431388</v>
      </c>
      <c r="U954" s="1">
        <f t="shared" si="280"/>
        <v>2.1933986534963443</v>
      </c>
    </row>
    <row r="955" spans="1:25" x14ac:dyDescent="0.25">
      <c r="A955" t="s">
        <v>4</v>
      </c>
      <c r="B955">
        <v>17.625900000000001</v>
      </c>
      <c r="C955">
        <v>5.5194799999999997</v>
      </c>
      <c r="D955">
        <f t="shared" si="281"/>
        <v>12.106420000000002</v>
      </c>
      <c r="E955" s="1">
        <f t="shared" si="282"/>
        <v>2.1933986534963443</v>
      </c>
      <c r="I955" t="s">
        <v>4</v>
      </c>
      <c r="J955" s="1">
        <f t="shared" si="283"/>
        <v>2.1933986534963443</v>
      </c>
      <c r="K955" s="1">
        <f t="shared" si="284"/>
        <v>1.7274127272859039</v>
      </c>
      <c r="U955" s="1">
        <f t="shared" si="280"/>
        <v>2.2697358271396548</v>
      </c>
    </row>
    <row r="956" spans="1:25" x14ac:dyDescent="0.25">
      <c r="A956" t="s">
        <v>5</v>
      </c>
      <c r="B956">
        <v>18.0151</v>
      </c>
      <c r="C956">
        <v>5.5096499999999997</v>
      </c>
      <c r="D956">
        <f t="shared" si="281"/>
        <v>12.50545</v>
      </c>
      <c r="E956" s="1">
        <f t="shared" si="282"/>
        <v>2.2697358271396548</v>
      </c>
      <c r="I956" t="s">
        <v>5</v>
      </c>
      <c r="J956" s="1">
        <f t="shared" si="283"/>
        <v>2.2697358271396548</v>
      </c>
      <c r="K956" s="1">
        <f t="shared" si="284"/>
        <v>1.6810414454638678</v>
      </c>
      <c r="U956" s="1">
        <f t="shared" si="280"/>
        <v>2.1455407346748601</v>
      </c>
    </row>
    <row r="957" spans="1:25" x14ac:dyDescent="0.25">
      <c r="A957" t="s">
        <v>6</v>
      </c>
      <c r="B957">
        <v>17.8232</v>
      </c>
      <c r="C957">
        <v>5.6661799999999998</v>
      </c>
      <c r="D957">
        <f t="shared" si="281"/>
        <v>12.157019999999999</v>
      </c>
      <c r="E957" s="1">
        <f t="shared" si="282"/>
        <v>2.1455407346748601</v>
      </c>
      <c r="I957" t="s">
        <v>6</v>
      </c>
      <c r="J957" s="1">
        <f t="shared" si="283"/>
        <v>2.1455407346748601</v>
      </c>
      <c r="K957" s="1">
        <f t="shared" si="284"/>
        <v>1.5809804842062909</v>
      </c>
      <c r="U957" s="1">
        <f t="shared" si="280"/>
        <v>2.1876915356906035</v>
      </c>
    </row>
    <row r="958" spans="1:25" x14ac:dyDescent="0.25">
      <c r="A958" t="s">
        <v>7</v>
      </c>
      <c r="B958">
        <v>17.786999999999999</v>
      </c>
      <c r="C958">
        <v>5.5799000000000003</v>
      </c>
      <c r="D958">
        <f t="shared" si="281"/>
        <v>12.207099999999999</v>
      </c>
      <c r="E958" s="1">
        <f t="shared" si="282"/>
        <v>2.1876915356906035</v>
      </c>
      <c r="I958" t="s">
        <v>7</v>
      </c>
      <c r="J958" s="1">
        <f t="shared" si="283"/>
        <v>2.1876915356906035</v>
      </c>
      <c r="K958" s="1">
        <f t="shared" si="284"/>
        <v>1.6328249610208065</v>
      </c>
      <c r="U958" s="1">
        <f t="shared" si="280"/>
        <v>2.0684049235316708</v>
      </c>
    </row>
    <row r="959" spans="1:25" x14ac:dyDescent="0.25">
      <c r="A959" t="s">
        <v>8</v>
      </c>
      <c r="B959">
        <v>16.941400000000002</v>
      </c>
      <c r="C959">
        <v>5.5212399999999997</v>
      </c>
      <c r="D959">
        <f t="shared" si="281"/>
        <v>11.420160000000003</v>
      </c>
      <c r="E959" s="1">
        <f t="shared" si="282"/>
        <v>2.0684049235316708</v>
      </c>
      <c r="I959" t="s">
        <v>8</v>
      </c>
      <c r="J959" s="1">
        <f t="shared" si="283"/>
        <v>2.0684049235316708</v>
      </c>
      <c r="K959" s="1">
        <f t="shared" si="284"/>
        <v>1.6547659583716703</v>
      </c>
      <c r="U959" s="1">
        <f t="shared" si="280"/>
        <v>1.9144251649022084</v>
      </c>
    </row>
    <row r="960" spans="1:25" x14ac:dyDescent="0.25">
      <c r="A960" t="s">
        <v>9</v>
      </c>
      <c r="B960">
        <v>15.7163</v>
      </c>
      <c r="C960">
        <v>5.3925900000000002</v>
      </c>
      <c r="D960">
        <f t="shared" si="281"/>
        <v>10.32371</v>
      </c>
      <c r="E960" s="1">
        <f t="shared" si="282"/>
        <v>1.9144251649022084</v>
      </c>
      <c r="I960" t="s">
        <v>9</v>
      </c>
      <c r="J960" s="1">
        <f t="shared" si="283"/>
        <v>1.9144251649022084</v>
      </c>
      <c r="K960" s="1">
        <f t="shared" si="284"/>
        <v>1.6220610133535089</v>
      </c>
      <c r="U960" s="1">
        <f t="shared" si="280"/>
        <v>1.7429651061965481</v>
      </c>
    </row>
    <row r="961" spans="1:21" x14ac:dyDescent="0.25">
      <c r="A961" t="s">
        <v>10</v>
      </c>
      <c r="B961">
        <v>15.0261</v>
      </c>
      <c r="C961">
        <v>5.4780499999999996</v>
      </c>
      <c r="D961">
        <f t="shared" si="281"/>
        <v>9.5480499999999999</v>
      </c>
      <c r="E961" s="1">
        <f t="shared" si="282"/>
        <v>1.7429651061965481</v>
      </c>
      <c r="I961" t="s">
        <v>10</v>
      </c>
      <c r="J961" s="1">
        <f t="shared" si="283"/>
        <v>1.7429651061965481</v>
      </c>
      <c r="K961" s="1">
        <f t="shared" si="284"/>
        <v>1.3406321592537493</v>
      </c>
      <c r="U961" s="1">
        <f t="shared" si="280"/>
        <v>2.3188519194034036</v>
      </c>
    </row>
    <row r="962" spans="1:21" x14ac:dyDescent="0.25">
      <c r="A962" t="s">
        <v>11</v>
      </c>
      <c r="B962">
        <v>61.504300000000001</v>
      </c>
      <c r="C962">
        <v>18.5318</v>
      </c>
      <c r="D962">
        <f t="shared" si="281"/>
        <v>42.972499999999997</v>
      </c>
      <c r="E962" s="1">
        <f t="shared" si="282"/>
        <v>2.3188519194034036</v>
      </c>
      <c r="I962" t="s">
        <v>11</v>
      </c>
      <c r="J962" s="1">
        <f t="shared" si="283"/>
        <v>2.3188519194034036</v>
      </c>
      <c r="K962" s="1">
        <f t="shared" si="284"/>
        <v>2.1503793479316631</v>
      </c>
      <c r="U962" s="1">
        <f t="shared" ref="U962:U971" si="285">K953</f>
        <v>1.5605694884922481</v>
      </c>
    </row>
    <row r="963" spans="1:21" x14ac:dyDescent="0.25">
      <c r="U963" s="1">
        <f t="shared" si="285"/>
        <v>1.5024802835431388</v>
      </c>
    </row>
    <row r="964" spans="1:21" x14ac:dyDescent="0.25">
      <c r="U964" s="1">
        <f t="shared" si="285"/>
        <v>1.7274127272859039</v>
      </c>
    </row>
    <row r="965" spans="1:21" x14ac:dyDescent="0.25">
      <c r="A965" t="s">
        <v>1</v>
      </c>
      <c r="B965" t="s">
        <v>14</v>
      </c>
      <c r="C965" t="s">
        <v>13</v>
      </c>
      <c r="I965" t="s">
        <v>19</v>
      </c>
      <c r="J965" s="2">
        <f>AVERAGE(J953:J962)</f>
        <v>2.1453505757666669</v>
      </c>
      <c r="K965" s="2">
        <f>AVERAGE(K953:K962)</f>
        <v>1.6453147868922848</v>
      </c>
      <c r="U965" s="1">
        <f t="shared" si="285"/>
        <v>1.6810414454638678</v>
      </c>
    </row>
    <row r="966" spans="1:21" x14ac:dyDescent="0.25">
      <c r="A966" t="s">
        <v>2</v>
      </c>
      <c r="B966">
        <v>14.1938</v>
      </c>
      <c r="C966">
        <v>5.5432199999999998</v>
      </c>
      <c r="D966">
        <f t="shared" ref="D966:D975" si="286">B966-C966</f>
        <v>8.6505799999999997</v>
      </c>
      <c r="E966" s="1">
        <f t="shared" ref="E966:E975" si="287">D966/C966</f>
        <v>1.5605694884922481</v>
      </c>
      <c r="N966" t="s">
        <v>20</v>
      </c>
      <c r="O966" s="2">
        <f>MIN(U952:U971)</f>
        <v>1.3406321592537493</v>
      </c>
      <c r="U966" s="1">
        <f t="shared" si="285"/>
        <v>1.5809804842062909</v>
      </c>
    </row>
    <row r="967" spans="1:21" x14ac:dyDescent="0.25">
      <c r="A967" t="s">
        <v>3</v>
      </c>
      <c r="B967">
        <v>13.923500000000001</v>
      </c>
      <c r="C967">
        <v>5.5638800000000002</v>
      </c>
      <c r="D967">
        <f t="shared" si="286"/>
        <v>8.3596199999999996</v>
      </c>
      <c r="E967" s="1">
        <f t="shared" si="287"/>
        <v>1.5024802835431388</v>
      </c>
      <c r="N967" t="s">
        <v>21</v>
      </c>
      <c r="O967" s="2">
        <f>MAX(U952:U971)</f>
        <v>2.3354981400702122</v>
      </c>
      <c r="U967" s="1">
        <f t="shared" si="285"/>
        <v>1.6328249610208065</v>
      </c>
    </row>
    <row r="968" spans="1:21" x14ac:dyDescent="0.25">
      <c r="A968" t="s">
        <v>4</v>
      </c>
      <c r="B968">
        <v>15.053900000000001</v>
      </c>
      <c r="C968">
        <v>5.5194799999999997</v>
      </c>
      <c r="D968">
        <f t="shared" si="286"/>
        <v>9.5344200000000008</v>
      </c>
      <c r="E968" s="1">
        <f t="shared" si="287"/>
        <v>1.7274127272859039</v>
      </c>
      <c r="N968" t="s">
        <v>22</v>
      </c>
      <c r="O968" s="2">
        <f>AVERAGE(U952:U971)</f>
        <v>1.8953326813294757</v>
      </c>
      <c r="U968" s="1">
        <f t="shared" si="285"/>
        <v>1.6547659583716703</v>
      </c>
    </row>
    <row r="969" spans="1:21" x14ac:dyDescent="0.25">
      <c r="A969" t="s">
        <v>5</v>
      </c>
      <c r="B969">
        <v>14.771599999999999</v>
      </c>
      <c r="C969">
        <v>5.5096499999999997</v>
      </c>
      <c r="D969">
        <f t="shared" si="286"/>
        <v>9.2619499999999988</v>
      </c>
      <c r="E969" s="1">
        <f t="shared" si="287"/>
        <v>1.6810414454638678</v>
      </c>
      <c r="U969" s="1">
        <f t="shared" si="285"/>
        <v>1.6220610133535089</v>
      </c>
    </row>
    <row r="970" spans="1:21" x14ac:dyDescent="0.25">
      <c r="A970" t="s">
        <v>6</v>
      </c>
      <c r="B970">
        <v>14.6243</v>
      </c>
      <c r="C970">
        <v>5.6661799999999998</v>
      </c>
      <c r="D970">
        <f t="shared" si="286"/>
        <v>8.958120000000001</v>
      </c>
      <c r="E970" s="1">
        <f t="shared" si="287"/>
        <v>1.5809804842062909</v>
      </c>
      <c r="U970" s="1">
        <f t="shared" si="285"/>
        <v>1.3406321592537493</v>
      </c>
    </row>
    <row r="971" spans="1:21" x14ac:dyDescent="0.25">
      <c r="A971" t="s">
        <v>7</v>
      </c>
      <c r="B971">
        <v>14.690899999999999</v>
      </c>
      <c r="C971">
        <v>5.5799000000000003</v>
      </c>
      <c r="D971">
        <f t="shared" si="286"/>
        <v>9.1109999999999989</v>
      </c>
      <c r="E971" s="1">
        <f t="shared" si="287"/>
        <v>1.6328249610208065</v>
      </c>
      <c r="U971" s="1">
        <f t="shared" si="285"/>
        <v>2.1503793479316631</v>
      </c>
    </row>
    <row r="972" spans="1:21" x14ac:dyDescent="0.25">
      <c r="A972" t="s">
        <v>8</v>
      </c>
      <c r="B972">
        <v>14.6576</v>
      </c>
      <c r="C972">
        <v>5.5212399999999997</v>
      </c>
      <c r="D972">
        <f t="shared" si="286"/>
        <v>9.1363599999999998</v>
      </c>
      <c r="E972" s="1">
        <f t="shared" si="287"/>
        <v>1.6547659583716703</v>
      </c>
    </row>
    <row r="973" spans="1:21" x14ac:dyDescent="0.25">
      <c r="A973" t="s">
        <v>9</v>
      </c>
      <c r="B973">
        <v>14.139699999999999</v>
      </c>
      <c r="C973">
        <v>5.3925900000000002</v>
      </c>
      <c r="D973">
        <f t="shared" si="286"/>
        <v>8.7471099999999993</v>
      </c>
      <c r="E973" s="1">
        <f t="shared" si="287"/>
        <v>1.6220610133535089</v>
      </c>
    </row>
    <row r="974" spans="1:21" x14ac:dyDescent="0.25">
      <c r="A974" t="s">
        <v>10</v>
      </c>
      <c r="B974">
        <v>12.822100000000001</v>
      </c>
      <c r="C974">
        <v>5.4780499999999996</v>
      </c>
      <c r="D974">
        <f t="shared" si="286"/>
        <v>7.3440500000000011</v>
      </c>
      <c r="E974" s="1">
        <f t="shared" si="287"/>
        <v>1.3406321592537493</v>
      </c>
    </row>
    <row r="975" spans="1:21" x14ac:dyDescent="0.25">
      <c r="A975" t="s">
        <v>11</v>
      </c>
      <c r="B975">
        <v>58.382199999999997</v>
      </c>
      <c r="C975">
        <v>18.5318</v>
      </c>
      <c r="D975">
        <f t="shared" si="286"/>
        <v>39.850399999999993</v>
      </c>
      <c r="E975" s="1">
        <f t="shared" si="287"/>
        <v>2.1503793479316631</v>
      </c>
    </row>
    <row r="977" spans="1:25" x14ac:dyDescent="0.25">
      <c r="A977" s="6" t="s">
        <v>64</v>
      </c>
      <c r="B977" s="6"/>
    </row>
    <row r="979" spans="1:25" x14ac:dyDescent="0.25">
      <c r="A979" t="s">
        <v>1</v>
      </c>
      <c r="B979" t="s">
        <v>12</v>
      </c>
      <c r="C979" t="s">
        <v>13</v>
      </c>
      <c r="E979" t="s">
        <v>15</v>
      </c>
      <c r="I979" t="s">
        <v>16</v>
      </c>
      <c r="J979" t="s">
        <v>17</v>
      </c>
      <c r="K979" t="s">
        <v>18</v>
      </c>
      <c r="U979" s="1">
        <f t="shared" ref="U979:U988" si="288">J980</f>
        <v>0.83164356229752512</v>
      </c>
      <c r="W979" s="2">
        <f>O993</f>
        <v>0.45377588852584511</v>
      </c>
      <c r="X979" s="2">
        <f>O994</f>
        <v>0.83164356229752512</v>
      </c>
      <c r="Y979" s="2">
        <f>O995</f>
        <v>0.67260825427472981</v>
      </c>
    </row>
    <row r="980" spans="1:25" x14ac:dyDescent="0.25">
      <c r="A980" t="s">
        <v>2</v>
      </c>
      <c r="B980">
        <v>5.1968932173912998</v>
      </c>
      <c r="C980">
        <v>2.8372841334219898</v>
      </c>
      <c r="D980">
        <f t="shared" ref="D980:D989" si="289">B980-C980</f>
        <v>2.35960908396931</v>
      </c>
      <c r="E980" s="1">
        <f t="shared" ref="E980:E989" si="290">D980/C980</f>
        <v>0.83164356229752512</v>
      </c>
      <c r="I980" t="s">
        <v>2</v>
      </c>
      <c r="J980" s="1">
        <f t="shared" ref="J980:J989" si="291">E980</f>
        <v>0.83164356229752512</v>
      </c>
      <c r="K980" s="1">
        <f t="shared" ref="K980:K989" si="292">E993</f>
        <v>0.6584235301680561</v>
      </c>
      <c r="U980" s="1">
        <f t="shared" si="288"/>
        <v>0.81146541234818192</v>
      </c>
    </row>
    <row r="981" spans="1:25" x14ac:dyDescent="0.25">
      <c r="A981" t="s">
        <v>3</v>
      </c>
      <c r="B981">
        <v>5.1892381783345503</v>
      </c>
      <c r="C981">
        <v>2.8646631301713898</v>
      </c>
      <c r="D981">
        <f t="shared" si="289"/>
        <v>2.3245750481631604</v>
      </c>
      <c r="E981" s="1">
        <f t="shared" si="290"/>
        <v>0.81146541234818192</v>
      </c>
      <c r="I981" t="s">
        <v>3</v>
      </c>
      <c r="J981" s="1">
        <f t="shared" si="291"/>
        <v>0.81146541234818192</v>
      </c>
      <c r="K981" s="1">
        <f t="shared" si="292"/>
        <v>0.62835548290173171</v>
      </c>
      <c r="U981" s="1">
        <f t="shared" si="288"/>
        <v>0.81084814790336823</v>
      </c>
    </row>
    <row r="982" spans="1:25" x14ac:dyDescent="0.25">
      <c r="A982" t="s">
        <v>4</v>
      </c>
      <c r="B982">
        <v>5.1309273434045597</v>
      </c>
      <c r="C982">
        <v>2.83343876699172</v>
      </c>
      <c r="D982">
        <f t="shared" si="289"/>
        <v>2.2974885764128397</v>
      </c>
      <c r="E982" s="1">
        <f t="shared" si="290"/>
        <v>0.81084814790336823</v>
      </c>
      <c r="I982" t="s">
        <v>4</v>
      </c>
      <c r="J982" s="1">
        <f t="shared" si="291"/>
        <v>0.81084814790336823</v>
      </c>
      <c r="K982" s="1">
        <f t="shared" si="292"/>
        <v>0.67853432259546276</v>
      </c>
      <c r="U982" s="1">
        <f t="shared" si="288"/>
        <v>0.75864230679955214</v>
      </c>
    </row>
    <row r="983" spans="1:25" x14ac:dyDescent="0.25">
      <c r="A983" t="s">
        <v>5</v>
      </c>
      <c r="B983">
        <v>5.0756531294672396</v>
      </c>
      <c r="C983">
        <v>2.88612022458627</v>
      </c>
      <c r="D983">
        <f t="shared" si="289"/>
        <v>2.1895329048809695</v>
      </c>
      <c r="E983" s="1">
        <f t="shared" si="290"/>
        <v>0.75864230679955214</v>
      </c>
      <c r="I983" t="s">
        <v>5</v>
      </c>
      <c r="J983" s="1">
        <f t="shared" si="291"/>
        <v>0.75864230679955214</v>
      </c>
      <c r="K983" s="1">
        <f t="shared" si="292"/>
        <v>0.65273962386769857</v>
      </c>
      <c r="U983" s="1">
        <f t="shared" si="288"/>
        <v>0.81942587006871781</v>
      </c>
    </row>
    <row r="984" spans="1:25" x14ac:dyDescent="0.25">
      <c r="A984" t="s">
        <v>6</v>
      </c>
      <c r="B984">
        <v>5.1888896227249299</v>
      </c>
      <c r="C984">
        <v>2.85193791518912</v>
      </c>
      <c r="D984">
        <f t="shared" si="289"/>
        <v>2.3369517075358099</v>
      </c>
      <c r="E984" s="1">
        <f t="shared" si="290"/>
        <v>0.81942587006871781</v>
      </c>
      <c r="I984" t="s">
        <v>6</v>
      </c>
      <c r="J984" s="1">
        <f t="shared" si="291"/>
        <v>0.81942587006871781</v>
      </c>
      <c r="K984" s="1">
        <f t="shared" si="292"/>
        <v>0.68338829318093963</v>
      </c>
      <c r="U984" s="1">
        <f t="shared" si="288"/>
        <v>0.75994516321559191</v>
      </c>
    </row>
    <row r="985" spans="1:25" x14ac:dyDescent="0.25">
      <c r="A985" t="s">
        <v>7</v>
      </c>
      <c r="B985">
        <v>5.0740188754605802</v>
      </c>
      <c r="C985">
        <v>2.8830550982565</v>
      </c>
      <c r="D985">
        <f t="shared" si="289"/>
        <v>2.1909637772040802</v>
      </c>
      <c r="E985" s="1">
        <f t="shared" si="290"/>
        <v>0.75994516321559191</v>
      </c>
      <c r="I985" t="s">
        <v>7</v>
      </c>
      <c r="J985" s="1">
        <f t="shared" si="291"/>
        <v>0.75994516321559191</v>
      </c>
      <c r="K985" s="1">
        <f t="shared" si="292"/>
        <v>0.65016625366227476</v>
      </c>
      <c r="U985" s="1">
        <f t="shared" si="288"/>
        <v>0.75643854828766766</v>
      </c>
    </row>
    <row r="986" spans="1:25" x14ac:dyDescent="0.25">
      <c r="A986" t="s">
        <v>8</v>
      </c>
      <c r="B986">
        <v>5.1170521982313799</v>
      </c>
      <c r="C986">
        <v>2.9133112588652401</v>
      </c>
      <c r="D986">
        <f t="shared" si="289"/>
        <v>2.2037409393661398</v>
      </c>
      <c r="E986" s="1">
        <f t="shared" si="290"/>
        <v>0.75643854828766766</v>
      </c>
      <c r="I986" t="s">
        <v>8</v>
      </c>
      <c r="J986" s="1">
        <f t="shared" si="291"/>
        <v>0.75643854828766766</v>
      </c>
      <c r="K986" s="1">
        <f t="shared" si="292"/>
        <v>0.64639571522501305</v>
      </c>
      <c r="U986" s="1">
        <f t="shared" si="288"/>
        <v>0.70235170528249358</v>
      </c>
    </row>
    <row r="987" spans="1:25" x14ac:dyDescent="0.25">
      <c r="A987" t="s">
        <v>9</v>
      </c>
      <c r="B987">
        <v>4.9986309322033797</v>
      </c>
      <c r="C987">
        <v>2.93630917553191</v>
      </c>
      <c r="D987">
        <f t="shared" si="289"/>
        <v>2.0623217566714698</v>
      </c>
      <c r="E987" s="1">
        <f t="shared" si="290"/>
        <v>0.70235170528249358</v>
      </c>
      <c r="I987" t="s">
        <v>9</v>
      </c>
      <c r="J987" s="1">
        <f t="shared" si="291"/>
        <v>0.70235170528249358</v>
      </c>
      <c r="K987" s="1">
        <f t="shared" si="292"/>
        <v>0.60043691879954419</v>
      </c>
      <c r="U987" s="1">
        <f t="shared" si="288"/>
        <v>0.57356698732519962</v>
      </c>
    </row>
    <row r="988" spans="1:25" x14ac:dyDescent="0.25">
      <c r="A988" t="s">
        <v>10</v>
      </c>
      <c r="B988">
        <v>4.8059905386485902</v>
      </c>
      <c r="C988">
        <v>3.0542014273049598</v>
      </c>
      <c r="D988">
        <f t="shared" si="289"/>
        <v>1.7517891113436304</v>
      </c>
      <c r="E988" s="1">
        <f t="shared" si="290"/>
        <v>0.57356698732519962</v>
      </c>
      <c r="I988" t="s">
        <v>10</v>
      </c>
      <c r="J988" s="1">
        <f t="shared" si="291"/>
        <v>0.57356698732519962</v>
      </c>
      <c r="K988" s="1">
        <f t="shared" si="292"/>
        <v>0.47733157986647845</v>
      </c>
      <c r="U988" s="1">
        <f t="shared" si="288"/>
        <v>0.49828977317325418</v>
      </c>
    </row>
    <row r="989" spans="1:25" x14ac:dyDescent="0.25">
      <c r="A989" t="s">
        <v>11</v>
      </c>
      <c r="B989">
        <v>13.397960054527999</v>
      </c>
      <c r="C989">
        <v>8.9421687943262302</v>
      </c>
      <c r="D989">
        <f t="shared" si="289"/>
        <v>4.4557912602017691</v>
      </c>
      <c r="E989" s="1">
        <f t="shared" si="290"/>
        <v>0.49828977317325418</v>
      </c>
      <c r="I989" t="s">
        <v>11</v>
      </c>
      <c r="J989" s="1">
        <f t="shared" si="291"/>
        <v>0.49828977317325418</v>
      </c>
      <c r="K989" s="1">
        <f t="shared" si="292"/>
        <v>0.45377588852584511</v>
      </c>
      <c r="U989" s="1">
        <f t="shared" ref="U989:U998" si="293">K980</f>
        <v>0.6584235301680561</v>
      </c>
    </row>
    <row r="990" spans="1:25" x14ac:dyDescent="0.25">
      <c r="U990" s="1">
        <f t="shared" si="293"/>
        <v>0.62835548290173171</v>
      </c>
    </row>
    <row r="991" spans="1:25" x14ac:dyDescent="0.25">
      <c r="U991" s="1">
        <f t="shared" si="293"/>
        <v>0.67853432259546276</v>
      </c>
    </row>
    <row r="992" spans="1:25" x14ac:dyDescent="0.25">
      <c r="A992" t="s">
        <v>1</v>
      </c>
      <c r="B992" t="s">
        <v>14</v>
      </c>
      <c r="C992" t="s">
        <v>13</v>
      </c>
      <c r="I992" t="s">
        <v>19</v>
      </c>
      <c r="J992" s="2">
        <f>AVERAGE(J980:J989)</f>
        <v>0.73226174767015528</v>
      </c>
      <c r="K992" s="2">
        <f>AVERAGE(K980:K989)</f>
        <v>0.61295476087930445</v>
      </c>
      <c r="U992" s="1">
        <f t="shared" si="293"/>
        <v>0.65273962386769857</v>
      </c>
    </row>
    <row r="993" spans="1:25" x14ac:dyDescent="0.25">
      <c r="A993" t="s">
        <v>2</v>
      </c>
      <c r="B993">
        <v>4.7054187686395101</v>
      </c>
      <c r="C993">
        <v>2.8372841334219898</v>
      </c>
      <c r="D993">
        <f t="shared" ref="D993:D1002" si="294">B993-C993</f>
        <v>1.8681346352175203</v>
      </c>
      <c r="E993" s="1">
        <f t="shared" ref="E993:E1002" si="295">D993/C993</f>
        <v>0.6584235301680561</v>
      </c>
      <c r="N993" t="s">
        <v>20</v>
      </c>
      <c r="O993" s="2">
        <f>MIN(U979:U998)</f>
        <v>0.45377588852584511</v>
      </c>
      <c r="U993" s="1">
        <f t="shared" si="293"/>
        <v>0.68338829318093963</v>
      </c>
    </row>
    <row r="994" spans="1:25" x14ac:dyDescent="0.25">
      <c r="A994" t="s">
        <v>3</v>
      </c>
      <c r="B994">
        <v>4.6646899146810199</v>
      </c>
      <c r="C994">
        <v>2.8646631301713898</v>
      </c>
      <c r="D994">
        <f t="shared" si="294"/>
        <v>1.8000267845096301</v>
      </c>
      <c r="E994" s="1">
        <f t="shared" si="295"/>
        <v>0.62835548290173171</v>
      </c>
      <c r="N994" t="s">
        <v>21</v>
      </c>
      <c r="O994" s="2">
        <f>MAX(U979:U998)</f>
        <v>0.83164356229752512</v>
      </c>
      <c r="U994" s="1">
        <f t="shared" si="293"/>
        <v>0.65016625366227476</v>
      </c>
    </row>
    <row r="995" spans="1:25" x14ac:dyDescent="0.25">
      <c r="A995" t="s">
        <v>4</v>
      </c>
      <c r="B995">
        <v>4.75602422136817</v>
      </c>
      <c r="C995">
        <v>2.83343876699172</v>
      </c>
      <c r="D995">
        <f t="shared" si="294"/>
        <v>1.92258545437645</v>
      </c>
      <c r="E995" s="1">
        <f t="shared" si="295"/>
        <v>0.67853432259546276</v>
      </c>
      <c r="N995" t="s">
        <v>22</v>
      </c>
      <c r="O995" s="2">
        <f>AVERAGE(U979:U998)</f>
        <v>0.67260825427472981</v>
      </c>
      <c r="U995" s="1">
        <f t="shared" si="293"/>
        <v>0.64639571522501305</v>
      </c>
    </row>
    <row r="996" spans="1:25" x14ac:dyDescent="0.25">
      <c r="A996" t="s">
        <v>5</v>
      </c>
      <c r="B996">
        <v>4.7700052544196696</v>
      </c>
      <c r="C996">
        <v>2.88612022458627</v>
      </c>
      <c r="D996">
        <f t="shared" si="294"/>
        <v>1.8838850298333996</v>
      </c>
      <c r="E996" s="1">
        <f t="shared" si="295"/>
        <v>0.65273962386769857</v>
      </c>
      <c r="U996" s="1">
        <f t="shared" si="293"/>
        <v>0.60043691879954419</v>
      </c>
    </row>
    <row r="997" spans="1:25" x14ac:dyDescent="0.25">
      <c r="A997" t="s">
        <v>6</v>
      </c>
      <c r="B997">
        <v>4.8009188993082201</v>
      </c>
      <c r="C997">
        <v>2.85193791518912</v>
      </c>
      <c r="D997">
        <f t="shared" si="294"/>
        <v>1.9489809841191001</v>
      </c>
      <c r="E997" s="1">
        <f t="shared" si="295"/>
        <v>0.68338829318093963</v>
      </c>
      <c r="U997" s="1">
        <f t="shared" si="293"/>
        <v>0.47733157986647845</v>
      </c>
    </row>
    <row r="998" spans="1:25" x14ac:dyDescent="0.25">
      <c r="A998" t="s">
        <v>7</v>
      </c>
      <c r="B998">
        <v>4.75752023059185</v>
      </c>
      <c r="C998">
        <v>2.8830550982565</v>
      </c>
      <c r="D998">
        <f t="shared" si="294"/>
        <v>1.8744651323353501</v>
      </c>
      <c r="E998" s="1">
        <f t="shared" si="295"/>
        <v>0.65016625366227476</v>
      </c>
      <c r="U998" s="1">
        <f t="shared" si="293"/>
        <v>0.45377588852584511</v>
      </c>
    </row>
    <row r="999" spans="1:25" x14ac:dyDescent="0.25">
      <c r="A999" t="s">
        <v>8</v>
      </c>
      <c r="B999">
        <v>4.7964631737125201</v>
      </c>
      <c r="C999">
        <v>2.9133112588652401</v>
      </c>
      <c r="D999">
        <f t="shared" si="294"/>
        <v>1.88315191484728</v>
      </c>
      <c r="E999" s="1">
        <f t="shared" si="295"/>
        <v>0.64639571522501305</v>
      </c>
    </row>
    <row r="1000" spans="1:25" x14ac:dyDescent="0.25">
      <c r="A1000" t="s">
        <v>9</v>
      </c>
      <c r="B1000">
        <v>4.6993776095311199</v>
      </c>
      <c r="C1000">
        <v>2.93630917553191</v>
      </c>
      <c r="D1000">
        <f t="shared" si="294"/>
        <v>1.76306843399921</v>
      </c>
      <c r="E1000" s="1">
        <f t="shared" si="295"/>
        <v>0.60043691879954419</v>
      </c>
    </row>
    <row r="1001" spans="1:25" x14ac:dyDescent="0.25">
      <c r="A1001" t="s">
        <v>10</v>
      </c>
      <c r="B1001">
        <v>4.5120682198308897</v>
      </c>
      <c r="C1001">
        <v>3.0542014273049598</v>
      </c>
      <c r="D1001">
        <f t="shared" si="294"/>
        <v>1.4578667925259299</v>
      </c>
      <c r="E1001" s="1">
        <f t="shared" si="295"/>
        <v>0.47733157986647845</v>
      </c>
    </row>
    <row r="1002" spans="1:25" x14ac:dyDescent="0.25">
      <c r="A1002" t="s">
        <v>11</v>
      </c>
      <c r="B1002">
        <v>12.9999093843197</v>
      </c>
      <c r="C1002">
        <v>8.9421687943262302</v>
      </c>
      <c r="D1002">
        <f t="shared" si="294"/>
        <v>4.05774058999347</v>
      </c>
      <c r="E1002" s="1">
        <f t="shared" si="295"/>
        <v>0.45377588852584511</v>
      </c>
    </row>
    <row r="1004" spans="1:25" x14ac:dyDescent="0.25">
      <c r="A1004" s="6" t="s">
        <v>65</v>
      </c>
      <c r="B1004" s="6"/>
    </row>
    <row r="1006" spans="1:25" x14ac:dyDescent="0.25">
      <c r="A1006" t="s">
        <v>1</v>
      </c>
      <c r="B1006" t="s">
        <v>12</v>
      </c>
      <c r="C1006" t="s">
        <v>13</v>
      </c>
      <c r="E1006" t="s">
        <v>15</v>
      </c>
      <c r="I1006" t="s">
        <v>16</v>
      </c>
      <c r="J1006" t="s">
        <v>17</v>
      </c>
      <c r="K1006" t="s">
        <v>18</v>
      </c>
      <c r="U1006" s="1">
        <f t="shared" ref="U1006:U1015" si="296">J1007</f>
        <v>1.0869481547572186</v>
      </c>
      <c r="W1006" s="2">
        <f>O1020</f>
        <v>0.48196608797416562</v>
      </c>
      <c r="X1006" s="2">
        <f>O1021</f>
        <v>1.1491681009753301</v>
      </c>
      <c r="Y1006" s="2">
        <f>O1022</f>
        <v>0.87779394745814388</v>
      </c>
    </row>
    <row r="1007" spans="1:25" x14ac:dyDescent="0.25">
      <c r="A1007" t="s">
        <v>2</v>
      </c>
      <c r="B1007">
        <v>23.8582</v>
      </c>
      <c r="C1007">
        <v>11.4321</v>
      </c>
      <c r="D1007">
        <f t="shared" ref="D1007:D1016" si="297">B1007-C1007</f>
        <v>12.4261</v>
      </c>
      <c r="E1007" s="1">
        <f t="shared" ref="E1007:E1016" si="298">D1007/C1007</f>
        <v>1.0869481547572186</v>
      </c>
      <c r="I1007" t="s">
        <v>2</v>
      </c>
      <c r="J1007" s="1">
        <f t="shared" ref="J1007:J1016" si="299">E1007</f>
        <v>1.0869481547572186</v>
      </c>
      <c r="K1007" s="1">
        <f t="shared" ref="K1007:K1016" si="300">E1020</f>
        <v>0.4969165770068491</v>
      </c>
      <c r="U1007" s="1">
        <f t="shared" si="296"/>
        <v>1.1098841148468506</v>
      </c>
    </row>
    <row r="1008" spans="1:25" x14ac:dyDescent="0.25">
      <c r="A1008" t="s">
        <v>3</v>
      </c>
      <c r="B1008">
        <v>23.978200000000001</v>
      </c>
      <c r="C1008">
        <v>11.364699999999999</v>
      </c>
      <c r="D1008">
        <f t="shared" si="297"/>
        <v>12.613500000000002</v>
      </c>
      <c r="E1008" s="1">
        <f t="shared" si="298"/>
        <v>1.1098841148468506</v>
      </c>
      <c r="I1008" t="s">
        <v>3</v>
      </c>
      <c r="J1008" s="1">
        <f t="shared" si="299"/>
        <v>1.1098841148468506</v>
      </c>
      <c r="K1008" s="1">
        <f t="shared" si="300"/>
        <v>0.48196608797416562</v>
      </c>
      <c r="U1008" s="1">
        <f t="shared" si="296"/>
        <v>1.0896385322771556</v>
      </c>
    </row>
    <row r="1009" spans="1:21" x14ac:dyDescent="0.25">
      <c r="A1009" t="s">
        <v>4</v>
      </c>
      <c r="B1009">
        <v>22.950500000000002</v>
      </c>
      <c r="C1009">
        <v>10.983000000000001</v>
      </c>
      <c r="D1009">
        <f t="shared" si="297"/>
        <v>11.967500000000001</v>
      </c>
      <c r="E1009" s="1">
        <f t="shared" si="298"/>
        <v>1.0896385322771556</v>
      </c>
      <c r="I1009" t="s">
        <v>4</v>
      </c>
      <c r="J1009" s="1">
        <f t="shared" si="299"/>
        <v>1.0896385322771556</v>
      </c>
      <c r="K1009" s="1">
        <f t="shared" si="300"/>
        <v>0.66720386051169989</v>
      </c>
      <c r="U1009" s="1">
        <f t="shared" si="296"/>
        <v>1.0726815901828874</v>
      </c>
    </row>
    <row r="1010" spans="1:21" x14ac:dyDescent="0.25">
      <c r="A1010" t="s">
        <v>5</v>
      </c>
      <c r="B1010">
        <v>22.7682</v>
      </c>
      <c r="C1010">
        <v>10.9849</v>
      </c>
      <c r="D1010">
        <f t="shared" si="297"/>
        <v>11.783300000000001</v>
      </c>
      <c r="E1010" s="1">
        <f t="shared" si="298"/>
        <v>1.0726815901828874</v>
      </c>
      <c r="I1010" t="s">
        <v>5</v>
      </c>
      <c r="J1010" s="1">
        <f t="shared" si="299"/>
        <v>1.0726815901828874</v>
      </c>
      <c r="K1010" s="1">
        <f t="shared" si="300"/>
        <v>0.728918788518785</v>
      </c>
      <c r="U1010" s="1">
        <f t="shared" si="296"/>
        <v>1.1421052631578947</v>
      </c>
    </row>
    <row r="1011" spans="1:21" x14ac:dyDescent="0.25">
      <c r="A1011" t="s">
        <v>6</v>
      </c>
      <c r="B1011">
        <v>23.443200000000001</v>
      </c>
      <c r="C1011">
        <v>10.944000000000001</v>
      </c>
      <c r="D1011">
        <f t="shared" si="297"/>
        <v>12.4992</v>
      </c>
      <c r="E1011" s="1">
        <f t="shared" si="298"/>
        <v>1.1421052631578947</v>
      </c>
      <c r="I1011" t="s">
        <v>6</v>
      </c>
      <c r="J1011" s="1">
        <f t="shared" si="299"/>
        <v>1.1421052631578947</v>
      </c>
      <c r="K1011" s="1">
        <f t="shared" si="300"/>
        <v>0.73697916666666641</v>
      </c>
      <c r="U1011" s="1">
        <f t="shared" si="296"/>
        <v>1.0441617784386079</v>
      </c>
    </row>
    <row r="1012" spans="1:21" x14ac:dyDescent="0.25">
      <c r="A1012" t="s">
        <v>7</v>
      </c>
      <c r="B1012">
        <v>22.546900000000001</v>
      </c>
      <c r="C1012">
        <v>11.0299</v>
      </c>
      <c r="D1012">
        <f t="shared" si="297"/>
        <v>11.517000000000001</v>
      </c>
      <c r="E1012" s="1">
        <f t="shared" si="298"/>
        <v>1.0441617784386079</v>
      </c>
      <c r="I1012" t="s">
        <v>7</v>
      </c>
      <c r="J1012" s="1">
        <f t="shared" si="299"/>
        <v>1.0441617784386079</v>
      </c>
      <c r="K1012" s="1">
        <f t="shared" si="300"/>
        <v>0.66624357428444503</v>
      </c>
      <c r="U1012" s="1">
        <f t="shared" si="296"/>
        <v>1.1276363869478812</v>
      </c>
    </row>
    <row r="1013" spans="1:21" x14ac:dyDescent="0.25">
      <c r="A1013" t="s">
        <v>8</v>
      </c>
      <c r="B1013">
        <v>23.232299999999999</v>
      </c>
      <c r="C1013">
        <v>10.9193</v>
      </c>
      <c r="D1013">
        <f t="shared" si="297"/>
        <v>12.312999999999999</v>
      </c>
      <c r="E1013" s="1">
        <f t="shared" si="298"/>
        <v>1.1276363869478812</v>
      </c>
      <c r="I1013" t="s">
        <v>8</v>
      </c>
      <c r="J1013" s="1">
        <f t="shared" si="299"/>
        <v>1.1276363869478812</v>
      </c>
      <c r="K1013" s="1">
        <f t="shared" si="300"/>
        <v>0.71804969183006229</v>
      </c>
      <c r="U1013" s="1">
        <f t="shared" si="296"/>
        <v>1.1491681009753301</v>
      </c>
    </row>
    <row r="1014" spans="1:21" x14ac:dyDescent="0.25">
      <c r="A1014" t="s">
        <v>9</v>
      </c>
      <c r="B1014">
        <v>22.101400000000002</v>
      </c>
      <c r="C1014">
        <v>10.2837</v>
      </c>
      <c r="D1014">
        <f t="shared" si="297"/>
        <v>11.817700000000002</v>
      </c>
      <c r="E1014" s="1">
        <f t="shared" si="298"/>
        <v>1.1491681009753301</v>
      </c>
      <c r="I1014" t="s">
        <v>9</v>
      </c>
      <c r="J1014" s="1">
        <f t="shared" si="299"/>
        <v>1.1491681009753301</v>
      </c>
      <c r="K1014" s="1">
        <f t="shared" si="300"/>
        <v>0.69024767350272787</v>
      </c>
      <c r="U1014" s="1">
        <f t="shared" si="296"/>
        <v>0.97996633162366253</v>
      </c>
    </row>
    <row r="1015" spans="1:21" x14ac:dyDescent="0.25">
      <c r="A1015" t="s">
        <v>10</v>
      </c>
      <c r="B1015">
        <v>20.112300000000001</v>
      </c>
      <c r="C1015">
        <v>10.1579</v>
      </c>
      <c r="D1015">
        <f t="shared" si="297"/>
        <v>9.9544000000000015</v>
      </c>
      <c r="E1015" s="1">
        <f t="shared" si="298"/>
        <v>0.97996633162366253</v>
      </c>
      <c r="I1015" t="s">
        <v>10</v>
      </c>
      <c r="J1015" s="1">
        <f t="shared" si="299"/>
        <v>0.97996633162366253</v>
      </c>
      <c r="K1015" s="1">
        <f t="shared" si="300"/>
        <v>0.61947843550340154</v>
      </c>
      <c r="U1015" s="1">
        <f t="shared" si="296"/>
        <v>1.0446325914885009</v>
      </c>
    </row>
    <row r="1016" spans="1:21" x14ac:dyDescent="0.25">
      <c r="A1016" t="s">
        <v>11</v>
      </c>
      <c r="B1016">
        <v>73.800399999999996</v>
      </c>
      <c r="C1016">
        <v>36.094700000000003</v>
      </c>
      <c r="D1016">
        <f t="shared" si="297"/>
        <v>37.705699999999993</v>
      </c>
      <c r="E1016" s="1">
        <f t="shared" si="298"/>
        <v>1.0446325914885009</v>
      </c>
      <c r="I1016" t="s">
        <v>11</v>
      </c>
      <c r="J1016" s="1">
        <f t="shared" si="299"/>
        <v>1.0446325914885009</v>
      </c>
      <c r="K1016" s="1">
        <f t="shared" si="300"/>
        <v>0.90305224866808687</v>
      </c>
      <c r="U1016" s="1">
        <f t="shared" ref="U1016:U1025" si="301">K1007</f>
        <v>0.4969165770068491</v>
      </c>
    </row>
    <row r="1017" spans="1:21" x14ac:dyDescent="0.25">
      <c r="U1017" s="1">
        <f t="shared" si="301"/>
        <v>0.48196608797416562</v>
      </c>
    </row>
    <row r="1018" spans="1:21" x14ac:dyDescent="0.25">
      <c r="U1018" s="1">
        <f t="shared" si="301"/>
        <v>0.66720386051169989</v>
      </c>
    </row>
    <row r="1019" spans="1:21" x14ac:dyDescent="0.25">
      <c r="A1019" t="s">
        <v>1</v>
      </c>
      <c r="B1019" t="s">
        <v>14</v>
      </c>
      <c r="C1019" t="s">
        <v>13</v>
      </c>
      <c r="I1019" t="s">
        <v>19</v>
      </c>
      <c r="J1019" s="2">
        <f>AVERAGE(J1007:J1016)</f>
        <v>1.0846822844695991</v>
      </c>
      <c r="K1019" s="2">
        <f>AVERAGE(K1007:K1016)</f>
        <v>0.67090561044668884</v>
      </c>
      <c r="U1019" s="1">
        <f t="shared" si="301"/>
        <v>0.728918788518785</v>
      </c>
    </row>
    <row r="1020" spans="1:21" x14ac:dyDescent="0.25">
      <c r="A1020" t="s">
        <v>2</v>
      </c>
      <c r="B1020">
        <v>17.1129</v>
      </c>
      <c r="C1020">
        <v>11.4321</v>
      </c>
      <c r="D1020">
        <f t="shared" ref="D1020:D1029" si="302">B1020-C1020</f>
        <v>5.6807999999999996</v>
      </c>
      <c r="E1020" s="1">
        <f t="shared" ref="E1020:E1029" si="303">D1020/C1020</f>
        <v>0.4969165770068491</v>
      </c>
      <c r="N1020" t="s">
        <v>20</v>
      </c>
      <c r="O1020" s="2">
        <f>MIN(U1006:U1025)</f>
        <v>0.48196608797416562</v>
      </c>
      <c r="U1020" s="1">
        <f t="shared" si="301"/>
        <v>0.73697916666666641</v>
      </c>
    </row>
    <row r="1021" spans="1:21" x14ac:dyDescent="0.25">
      <c r="A1021" t="s">
        <v>3</v>
      </c>
      <c r="B1021">
        <v>16.842099999999999</v>
      </c>
      <c r="C1021">
        <v>11.364699999999999</v>
      </c>
      <c r="D1021">
        <f t="shared" si="302"/>
        <v>5.4773999999999994</v>
      </c>
      <c r="E1021" s="1">
        <f t="shared" si="303"/>
        <v>0.48196608797416562</v>
      </c>
      <c r="N1021" t="s">
        <v>21</v>
      </c>
      <c r="O1021" s="2">
        <f>MAX(U1006:U1025)</f>
        <v>1.1491681009753301</v>
      </c>
      <c r="U1021" s="1">
        <f t="shared" si="301"/>
        <v>0.66624357428444503</v>
      </c>
    </row>
    <row r="1022" spans="1:21" x14ac:dyDescent="0.25">
      <c r="A1022" t="s">
        <v>4</v>
      </c>
      <c r="B1022">
        <v>18.3109</v>
      </c>
      <c r="C1022">
        <v>10.983000000000001</v>
      </c>
      <c r="D1022">
        <f t="shared" si="302"/>
        <v>7.3278999999999996</v>
      </c>
      <c r="E1022" s="1">
        <f t="shared" si="303"/>
        <v>0.66720386051169989</v>
      </c>
      <c r="N1022" t="s">
        <v>22</v>
      </c>
      <c r="O1022" s="2">
        <f>AVERAGE(U1006:U1025)</f>
        <v>0.87779394745814388</v>
      </c>
      <c r="U1022" s="1">
        <f t="shared" si="301"/>
        <v>0.71804969183006229</v>
      </c>
    </row>
    <row r="1023" spans="1:21" x14ac:dyDescent="0.25">
      <c r="A1023" t="s">
        <v>5</v>
      </c>
      <c r="B1023">
        <v>18.992000000000001</v>
      </c>
      <c r="C1023">
        <v>10.9849</v>
      </c>
      <c r="D1023">
        <f t="shared" si="302"/>
        <v>8.0071000000000012</v>
      </c>
      <c r="E1023" s="1">
        <f t="shared" si="303"/>
        <v>0.728918788518785</v>
      </c>
      <c r="U1023" s="1">
        <f t="shared" si="301"/>
        <v>0.69024767350272787</v>
      </c>
    </row>
    <row r="1024" spans="1:21" x14ac:dyDescent="0.25">
      <c r="A1024" t="s">
        <v>6</v>
      </c>
      <c r="B1024">
        <v>19.009499999999999</v>
      </c>
      <c r="C1024">
        <v>10.944000000000001</v>
      </c>
      <c r="D1024">
        <f t="shared" si="302"/>
        <v>8.0654999999999983</v>
      </c>
      <c r="E1024" s="1">
        <f t="shared" si="303"/>
        <v>0.73697916666666641</v>
      </c>
      <c r="U1024" s="1">
        <f t="shared" si="301"/>
        <v>0.61947843550340154</v>
      </c>
    </row>
    <row r="1025" spans="1:25" x14ac:dyDescent="0.25">
      <c r="A1025" t="s">
        <v>7</v>
      </c>
      <c r="B1025">
        <v>18.378499999999999</v>
      </c>
      <c r="C1025">
        <v>11.0299</v>
      </c>
      <c r="D1025">
        <f t="shared" si="302"/>
        <v>7.3485999999999994</v>
      </c>
      <c r="E1025" s="1">
        <f t="shared" si="303"/>
        <v>0.66624357428444503</v>
      </c>
      <c r="U1025" s="1">
        <f t="shared" si="301"/>
        <v>0.90305224866808687</v>
      </c>
    </row>
    <row r="1026" spans="1:25" x14ac:dyDescent="0.25">
      <c r="A1026" t="s">
        <v>8</v>
      </c>
      <c r="B1026">
        <v>18.759899999999998</v>
      </c>
      <c r="C1026">
        <v>10.9193</v>
      </c>
      <c r="D1026">
        <f t="shared" si="302"/>
        <v>7.8405999999999985</v>
      </c>
      <c r="E1026" s="1">
        <f t="shared" si="303"/>
        <v>0.71804969183006229</v>
      </c>
    </row>
    <row r="1027" spans="1:25" x14ac:dyDescent="0.25">
      <c r="A1027" t="s">
        <v>9</v>
      </c>
      <c r="B1027">
        <v>17.382000000000001</v>
      </c>
      <c r="C1027">
        <v>10.2837</v>
      </c>
      <c r="D1027">
        <f t="shared" si="302"/>
        <v>7.0983000000000018</v>
      </c>
      <c r="E1027" s="1">
        <f t="shared" si="303"/>
        <v>0.69024767350272787</v>
      </c>
    </row>
    <row r="1028" spans="1:25" x14ac:dyDescent="0.25">
      <c r="A1028" t="s">
        <v>10</v>
      </c>
      <c r="B1028">
        <v>16.450500000000002</v>
      </c>
      <c r="C1028">
        <v>10.1579</v>
      </c>
      <c r="D1028">
        <f t="shared" si="302"/>
        <v>6.292600000000002</v>
      </c>
      <c r="E1028" s="1">
        <f t="shared" si="303"/>
        <v>0.61947843550340154</v>
      </c>
    </row>
    <row r="1029" spans="1:25" x14ac:dyDescent="0.25">
      <c r="A1029" t="s">
        <v>11</v>
      </c>
      <c r="B1029">
        <v>68.690100000000001</v>
      </c>
      <c r="C1029">
        <v>36.094700000000003</v>
      </c>
      <c r="D1029">
        <f t="shared" si="302"/>
        <v>32.595399999999998</v>
      </c>
      <c r="E1029" s="1">
        <f t="shared" si="303"/>
        <v>0.90305224866808687</v>
      </c>
    </row>
    <row r="1031" spans="1:25" x14ac:dyDescent="0.25">
      <c r="A1031" s="6" t="s">
        <v>47</v>
      </c>
      <c r="B1031" s="6"/>
    </row>
    <row r="1033" spans="1:25" x14ac:dyDescent="0.25">
      <c r="A1033" t="s">
        <v>1</v>
      </c>
      <c r="B1033" t="s">
        <v>12</v>
      </c>
      <c r="C1033" t="s">
        <v>13</v>
      </c>
      <c r="E1033" t="s">
        <v>15</v>
      </c>
      <c r="I1033" t="s">
        <v>16</v>
      </c>
      <c r="J1033" t="s">
        <v>17</v>
      </c>
      <c r="K1033" t="s">
        <v>18</v>
      </c>
      <c r="U1033" s="1">
        <f t="shared" ref="U1033:U1042" si="304">J1034</f>
        <v>0.52705410575720257</v>
      </c>
      <c r="W1033" s="2">
        <f>O1047</f>
        <v>0.11020585704547176</v>
      </c>
      <c r="X1033" s="2">
        <f>O1048</f>
        <v>0.55051729216905154</v>
      </c>
      <c r="Y1033" s="2">
        <f>O1049</f>
        <v>0.40071474617117381</v>
      </c>
    </row>
    <row r="1034" spans="1:25" x14ac:dyDescent="0.25">
      <c r="A1034" t="s">
        <v>2</v>
      </c>
      <c r="B1034">
        <v>7.8266682546214001</v>
      </c>
      <c r="C1034">
        <v>5.1253378810310597</v>
      </c>
      <c r="D1034">
        <f t="shared" ref="D1034:D1043" si="305">B1034-C1034</f>
        <v>2.7013303735903405</v>
      </c>
      <c r="E1034" s="1">
        <f t="shared" ref="E1034:E1043" si="306">D1034/C1034</f>
        <v>0.52705410575720257</v>
      </c>
      <c r="I1034" t="s">
        <v>2</v>
      </c>
      <c r="J1034" s="1">
        <f t="shared" ref="J1034:J1043" si="307">E1034</f>
        <v>0.52705410575720257</v>
      </c>
      <c r="K1034" s="1">
        <f t="shared" ref="K1034:K1043" si="308">E1047</f>
        <v>0.35541114693385445</v>
      </c>
      <c r="U1034" s="1">
        <f t="shared" si="304"/>
        <v>0.52478899288925451</v>
      </c>
    </row>
    <row r="1035" spans="1:25" x14ac:dyDescent="0.25">
      <c r="A1035" t="s">
        <v>3</v>
      </c>
      <c r="B1035">
        <v>7.8987346616310399</v>
      </c>
      <c r="C1035">
        <v>5.1802149008592204</v>
      </c>
      <c r="D1035">
        <f t="shared" si="305"/>
        <v>2.7185197607718194</v>
      </c>
      <c r="E1035" s="1">
        <f t="shared" si="306"/>
        <v>0.52478899288925451</v>
      </c>
      <c r="I1035" t="s">
        <v>3</v>
      </c>
      <c r="J1035" s="1">
        <f t="shared" si="307"/>
        <v>0.52478899288925451</v>
      </c>
      <c r="K1035" s="1">
        <f t="shared" si="308"/>
        <v>0.32116286954464762</v>
      </c>
      <c r="U1035" s="1">
        <f t="shared" si="304"/>
        <v>0.55051729216905154</v>
      </c>
    </row>
    <row r="1036" spans="1:25" x14ac:dyDescent="0.25">
      <c r="A1036" t="s">
        <v>4</v>
      </c>
      <c r="B1036">
        <v>8.0707392366271904</v>
      </c>
      <c r="C1036">
        <v>5.2051913754130803</v>
      </c>
      <c r="D1036">
        <f t="shared" si="305"/>
        <v>2.8655478612141101</v>
      </c>
      <c r="E1036" s="1">
        <f t="shared" si="306"/>
        <v>0.55051729216905154</v>
      </c>
      <c r="I1036" t="s">
        <v>4</v>
      </c>
      <c r="J1036" s="1">
        <f t="shared" si="307"/>
        <v>0.55051729216905154</v>
      </c>
      <c r="K1036" s="1">
        <f t="shared" si="308"/>
        <v>0.37308472921250962</v>
      </c>
      <c r="U1036" s="1">
        <f t="shared" si="304"/>
        <v>0.51215102803257362</v>
      </c>
    </row>
    <row r="1037" spans="1:25" x14ac:dyDescent="0.25">
      <c r="A1037" t="s">
        <v>5</v>
      </c>
      <c r="B1037">
        <v>7.8461294914942004</v>
      </c>
      <c r="C1037">
        <v>5.1887207997356102</v>
      </c>
      <c r="D1037">
        <f t="shared" si="305"/>
        <v>2.6574086917585902</v>
      </c>
      <c r="E1037" s="1">
        <f t="shared" si="306"/>
        <v>0.51215102803257362</v>
      </c>
      <c r="I1037" t="s">
        <v>5</v>
      </c>
      <c r="J1037" s="1">
        <f t="shared" si="307"/>
        <v>0.51215102803257362</v>
      </c>
      <c r="K1037" s="1">
        <f t="shared" si="308"/>
        <v>0.37195830807549751</v>
      </c>
      <c r="U1037" s="1">
        <f t="shared" si="304"/>
        <v>0.51782346195664153</v>
      </c>
    </row>
    <row r="1038" spans="1:25" x14ac:dyDescent="0.25">
      <c r="A1038" t="s">
        <v>6</v>
      </c>
      <c r="B1038">
        <v>7.8576715370916297</v>
      </c>
      <c r="C1038">
        <v>5.1769337699933997</v>
      </c>
      <c r="D1038">
        <f t="shared" si="305"/>
        <v>2.68073776709823</v>
      </c>
      <c r="E1038" s="1">
        <f t="shared" si="306"/>
        <v>0.51782346195664153</v>
      </c>
      <c r="I1038" t="s">
        <v>6</v>
      </c>
      <c r="J1038" s="1">
        <f t="shared" si="307"/>
        <v>0.51782346195664153</v>
      </c>
      <c r="K1038" s="1">
        <f t="shared" si="308"/>
        <v>0.36547547170965311</v>
      </c>
      <c r="U1038" s="1">
        <f t="shared" si="304"/>
        <v>0.51692896959806989</v>
      </c>
    </row>
    <row r="1039" spans="1:25" x14ac:dyDescent="0.25">
      <c r="A1039" t="s">
        <v>7</v>
      </c>
      <c r="B1039">
        <v>7.9013520923662801</v>
      </c>
      <c r="C1039">
        <v>5.2087818551318499</v>
      </c>
      <c r="D1039">
        <f t="shared" si="305"/>
        <v>2.6925702372344302</v>
      </c>
      <c r="E1039" s="1">
        <f t="shared" si="306"/>
        <v>0.51692896959806989</v>
      </c>
      <c r="I1039" t="s">
        <v>7</v>
      </c>
      <c r="J1039" s="1">
        <f t="shared" si="307"/>
        <v>0.51692896959806989</v>
      </c>
      <c r="K1039" s="1">
        <f t="shared" si="308"/>
        <v>0.33436629989734218</v>
      </c>
      <c r="U1039" s="1">
        <f t="shared" si="304"/>
        <v>0.53532378989371721</v>
      </c>
    </row>
    <row r="1040" spans="1:25" x14ac:dyDescent="0.25">
      <c r="A1040" t="s">
        <v>8</v>
      </c>
      <c r="B1040">
        <v>7.9464680158437702</v>
      </c>
      <c r="C1040">
        <v>5.1757603628312596</v>
      </c>
      <c r="D1040">
        <f t="shared" si="305"/>
        <v>2.7707076530125105</v>
      </c>
      <c r="E1040" s="1">
        <f t="shared" si="306"/>
        <v>0.53532378989371721</v>
      </c>
      <c r="I1040" t="s">
        <v>8</v>
      </c>
      <c r="J1040" s="1">
        <f t="shared" si="307"/>
        <v>0.53532378989371721</v>
      </c>
      <c r="K1040" s="1">
        <f t="shared" si="308"/>
        <v>0.36855613010133109</v>
      </c>
      <c r="U1040" s="1">
        <f t="shared" si="304"/>
        <v>0.47977993420648857</v>
      </c>
    </row>
    <row r="1041" spans="1:21" x14ac:dyDescent="0.25">
      <c r="A1041" t="s">
        <v>9</v>
      </c>
      <c r="B1041">
        <v>7.5988046797273103</v>
      </c>
      <c r="C1041">
        <v>5.1350910389267197</v>
      </c>
      <c r="D1041">
        <f t="shared" si="305"/>
        <v>2.4637136408005906</v>
      </c>
      <c r="E1041" s="1">
        <f t="shared" si="306"/>
        <v>0.47977993420648857</v>
      </c>
      <c r="I1041" t="s">
        <v>9</v>
      </c>
      <c r="J1041" s="1">
        <f t="shared" si="307"/>
        <v>0.47977993420648857</v>
      </c>
      <c r="K1041" s="1">
        <f t="shared" si="308"/>
        <v>0.35157867047981745</v>
      </c>
      <c r="U1041" s="1">
        <f t="shared" si="304"/>
        <v>0.43118811920488198</v>
      </c>
    </row>
    <row r="1042" spans="1:21" x14ac:dyDescent="0.25">
      <c r="A1042" t="s">
        <v>10</v>
      </c>
      <c r="B1042">
        <v>7.2208999263035096</v>
      </c>
      <c r="C1042">
        <v>5.04538839402551</v>
      </c>
      <c r="D1042">
        <f t="shared" si="305"/>
        <v>2.1755115322779996</v>
      </c>
      <c r="E1042" s="1">
        <f t="shared" si="306"/>
        <v>0.43118811920488198</v>
      </c>
      <c r="I1042" t="s">
        <v>10</v>
      </c>
      <c r="J1042" s="1">
        <f t="shared" si="307"/>
        <v>0.43118811920488198</v>
      </c>
      <c r="K1042" s="1">
        <f t="shared" si="308"/>
        <v>0.29599931680234859</v>
      </c>
      <c r="U1042" s="1">
        <f t="shared" si="304"/>
        <v>0.17094042991312</v>
      </c>
    </row>
    <row r="1043" spans="1:21" x14ac:dyDescent="0.25">
      <c r="A1043" t="s">
        <v>11</v>
      </c>
      <c r="B1043">
        <v>16.603925684721201</v>
      </c>
      <c r="C1043">
        <v>14.1799917916859</v>
      </c>
      <c r="D1043">
        <f t="shared" si="305"/>
        <v>2.4239338930353007</v>
      </c>
      <c r="E1043" s="1">
        <f t="shared" si="306"/>
        <v>0.17094042991312</v>
      </c>
      <c r="I1043" t="s">
        <v>11</v>
      </c>
      <c r="J1043" s="1">
        <f t="shared" si="307"/>
        <v>0.17094042991312</v>
      </c>
      <c r="K1043" s="1">
        <f t="shared" si="308"/>
        <v>0.11020585704547176</v>
      </c>
      <c r="U1043" s="1">
        <f t="shared" ref="U1043:U1052" si="309">K1034</f>
        <v>0.35541114693385445</v>
      </c>
    </row>
    <row r="1044" spans="1:21" x14ac:dyDescent="0.25">
      <c r="U1044" s="1">
        <f t="shared" si="309"/>
        <v>0.32116286954464762</v>
      </c>
    </row>
    <row r="1045" spans="1:21" x14ac:dyDescent="0.25">
      <c r="U1045" s="1">
        <f t="shared" si="309"/>
        <v>0.37308472921250962</v>
      </c>
    </row>
    <row r="1046" spans="1:21" x14ac:dyDescent="0.25">
      <c r="A1046" t="s">
        <v>1</v>
      </c>
      <c r="B1046" t="s">
        <v>14</v>
      </c>
      <c r="C1046" t="s">
        <v>13</v>
      </c>
      <c r="I1046" t="s">
        <v>19</v>
      </c>
      <c r="J1046" s="2">
        <f>AVERAGE(J1034:J1043)</f>
        <v>0.47664961236210013</v>
      </c>
      <c r="K1046" s="2">
        <f>AVERAGE(K1034:K1043)</f>
        <v>0.32477987998024732</v>
      </c>
      <c r="U1046" s="1">
        <f t="shared" si="309"/>
        <v>0.37195830807549751</v>
      </c>
    </row>
    <row r="1047" spans="1:21" x14ac:dyDescent="0.25">
      <c r="A1047" t="s">
        <v>2</v>
      </c>
      <c r="B1047">
        <v>6.9469400957518399</v>
      </c>
      <c r="C1047">
        <v>5.1253378810310597</v>
      </c>
      <c r="D1047">
        <f t="shared" ref="D1047:D1056" si="310">B1047-C1047</f>
        <v>1.8216022147207802</v>
      </c>
      <c r="E1047" s="1">
        <f t="shared" ref="E1047:E1056" si="311">D1047/C1047</f>
        <v>0.35541114693385445</v>
      </c>
      <c r="N1047" t="s">
        <v>20</v>
      </c>
      <c r="O1047" s="2">
        <f>MIN(U1033:U1052)</f>
        <v>0.11020585704547176</v>
      </c>
      <c r="U1047" s="1">
        <f t="shared" si="309"/>
        <v>0.36547547170965311</v>
      </c>
    </row>
    <row r="1048" spans="1:21" x14ac:dyDescent="0.25">
      <c r="A1048" t="s">
        <v>3</v>
      </c>
      <c r="B1048">
        <v>6.8439075832771099</v>
      </c>
      <c r="C1048">
        <v>5.1802149008592204</v>
      </c>
      <c r="D1048">
        <f t="shared" si="310"/>
        <v>1.6636926824178895</v>
      </c>
      <c r="E1048" s="1">
        <f t="shared" si="311"/>
        <v>0.32116286954464762</v>
      </c>
      <c r="N1048" t="s">
        <v>21</v>
      </c>
      <c r="O1048" s="2">
        <f>MAX(U1033:U1052)</f>
        <v>0.55051729216905154</v>
      </c>
      <c r="U1048" s="1">
        <f t="shared" si="309"/>
        <v>0.33436629989734218</v>
      </c>
    </row>
    <row r="1049" spans="1:21" x14ac:dyDescent="0.25">
      <c r="A1049" t="s">
        <v>4</v>
      </c>
      <c r="B1049">
        <v>7.1471687902083598</v>
      </c>
      <c r="C1049">
        <v>5.2051913754130803</v>
      </c>
      <c r="D1049">
        <f t="shared" si="310"/>
        <v>1.9419774147952795</v>
      </c>
      <c r="E1049" s="1">
        <f t="shared" si="311"/>
        <v>0.37308472921250962</v>
      </c>
      <c r="N1049" t="s">
        <v>22</v>
      </c>
      <c r="O1049" s="2">
        <f>AVERAGE(U1033:U1052)</f>
        <v>0.40071474617117381</v>
      </c>
      <c r="U1049" s="1">
        <f t="shared" si="309"/>
        <v>0.36855613010133109</v>
      </c>
    </row>
    <row r="1050" spans="1:21" x14ac:dyDescent="0.25">
      <c r="A1050" t="s">
        <v>5</v>
      </c>
      <c r="B1050">
        <v>7.11870860948141</v>
      </c>
      <c r="C1050">
        <v>5.1887207997356102</v>
      </c>
      <c r="D1050">
        <f t="shared" si="310"/>
        <v>1.9299878097457999</v>
      </c>
      <c r="E1050" s="1">
        <f t="shared" si="311"/>
        <v>0.37195830807549751</v>
      </c>
      <c r="U1050" s="1">
        <f t="shared" si="309"/>
        <v>0.35157867047981745</v>
      </c>
    </row>
    <row r="1051" spans="1:21" x14ac:dyDescent="0.25">
      <c r="A1051" t="s">
        <v>6</v>
      </c>
      <c r="B1051">
        <v>7.0689760815913703</v>
      </c>
      <c r="C1051">
        <v>5.1769337699933997</v>
      </c>
      <c r="D1051">
        <f t="shared" si="310"/>
        <v>1.8920423115979705</v>
      </c>
      <c r="E1051" s="1">
        <f t="shared" si="311"/>
        <v>0.36547547170965311</v>
      </c>
      <c r="U1051" s="1">
        <f t="shared" si="309"/>
        <v>0.29599931680234859</v>
      </c>
    </row>
    <row r="1052" spans="1:21" x14ac:dyDescent="0.25">
      <c r="A1052" t="s">
        <v>7</v>
      </c>
      <c r="B1052">
        <v>6.9504229710047003</v>
      </c>
      <c r="C1052">
        <v>5.2087818551318499</v>
      </c>
      <c r="D1052">
        <f t="shared" si="310"/>
        <v>1.7416411158728504</v>
      </c>
      <c r="E1052" s="1">
        <f t="shared" si="311"/>
        <v>0.33436629989734218</v>
      </c>
      <c r="U1052" s="1">
        <f t="shared" si="309"/>
        <v>0.11020585704547176</v>
      </c>
    </row>
    <row r="1053" spans="1:21" x14ac:dyDescent="0.25">
      <c r="A1053" t="s">
        <v>8</v>
      </c>
      <c r="B1053">
        <v>7.08331857248821</v>
      </c>
      <c r="C1053">
        <v>5.1757603628312596</v>
      </c>
      <c r="D1053">
        <f t="shared" si="310"/>
        <v>1.9075582096569503</v>
      </c>
      <c r="E1053" s="1">
        <f t="shared" si="311"/>
        <v>0.36855613010133109</v>
      </c>
    </row>
    <row r="1054" spans="1:21" x14ac:dyDescent="0.25">
      <c r="A1054" t="s">
        <v>9</v>
      </c>
      <c r="B1054">
        <v>6.9404795191854003</v>
      </c>
      <c r="C1054">
        <v>5.1350910389267197</v>
      </c>
      <c r="D1054">
        <f t="shared" si="310"/>
        <v>1.8053884802586806</v>
      </c>
      <c r="E1054" s="1">
        <f t="shared" si="311"/>
        <v>0.35157867047981745</v>
      </c>
    </row>
    <row r="1055" spans="1:21" x14ac:dyDescent="0.25">
      <c r="A1055" t="s">
        <v>10</v>
      </c>
      <c r="B1055">
        <v>6.5388199116595596</v>
      </c>
      <c r="C1055">
        <v>5.04538839402551</v>
      </c>
      <c r="D1055">
        <f t="shared" si="310"/>
        <v>1.4934315176340496</v>
      </c>
      <c r="E1055" s="1">
        <f t="shared" si="311"/>
        <v>0.29599931680234859</v>
      </c>
    </row>
    <row r="1056" spans="1:21" x14ac:dyDescent="0.25">
      <c r="A1056" t="s">
        <v>11</v>
      </c>
      <c r="B1056">
        <v>15.742709939986399</v>
      </c>
      <c r="C1056">
        <v>14.1799917916859</v>
      </c>
      <c r="D1056">
        <f t="shared" si="310"/>
        <v>1.5627181483004993</v>
      </c>
      <c r="E1056" s="1">
        <f t="shared" si="311"/>
        <v>0.11020585704547176</v>
      </c>
    </row>
    <row r="1058" spans="1:25" x14ac:dyDescent="0.25">
      <c r="A1058" s="6" t="s">
        <v>46</v>
      </c>
      <c r="B1058" s="6"/>
    </row>
    <row r="1060" spans="1:25" x14ac:dyDescent="0.25">
      <c r="A1060" t="s">
        <v>1</v>
      </c>
      <c r="B1060" t="s">
        <v>12</v>
      </c>
      <c r="C1060" t="s">
        <v>13</v>
      </c>
      <c r="E1060" t="s">
        <v>15</v>
      </c>
      <c r="I1060" t="s">
        <v>16</v>
      </c>
      <c r="J1060" t="s">
        <v>17</v>
      </c>
      <c r="K1060" t="s">
        <v>18</v>
      </c>
      <c r="U1060" s="1">
        <f t="shared" ref="U1060:U1069" si="312">J1061</f>
        <v>0.61651752333630794</v>
      </c>
      <c r="W1060" s="2">
        <f>O1074</f>
        <v>0.13955451302158722</v>
      </c>
      <c r="X1060" s="2">
        <f>O1075</f>
        <v>0.79415456692991215</v>
      </c>
      <c r="Y1060" s="2">
        <f>O1076</f>
        <v>0.48655804296321126</v>
      </c>
    </row>
    <row r="1061" spans="1:25" x14ac:dyDescent="0.25">
      <c r="A1061" t="s">
        <v>2</v>
      </c>
      <c r="B1061">
        <v>33.509599999999999</v>
      </c>
      <c r="C1061">
        <v>20.729500000000002</v>
      </c>
      <c r="D1061">
        <f t="shared" ref="D1061:D1070" si="313">B1061-C1061</f>
        <v>12.780099999999997</v>
      </c>
      <c r="E1061" s="1">
        <f t="shared" ref="E1061:E1070" si="314">D1061/C1061</f>
        <v>0.61651752333630794</v>
      </c>
      <c r="I1061" t="s">
        <v>2</v>
      </c>
      <c r="J1061" s="1">
        <f t="shared" ref="J1061:J1070" si="315">E1061</f>
        <v>0.61651752333630794</v>
      </c>
      <c r="K1061" s="1">
        <f t="shared" ref="K1061:K1070" si="316">E1074</f>
        <v>0.1741576014858052</v>
      </c>
      <c r="U1061" s="1">
        <f t="shared" si="312"/>
        <v>0.66623809360232</v>
      </c>
    </row>
    <row r="1062" spans="1:25" x14ac:dyDescent="0.25">
      <c r="A1062" t="s">
        <v>3</v>
      </c>
      <c r="B1062">
        <v>33.954099999999997</v>
      </c>
      <c r="C1062">
        <v>20.377700000000001</v>
      </c>
      <c r="D1062">
        <f t="shared" si="313"/>
        <v>13.576399999999996</v>
      </c>
      <c r="E1062" s="1">
        <f t="shared" si="314"/>
        <v>0.66623809360232</v>
      </c>
      <c r="I1062" t="s">
        <v>3</v>
      </c>
      <c r="J1062" s="1">
        <f t="shared" si="315"/>
        <v>0.66623809360232</v>
      </c>
      <c r="K1062" s="1">
        <f t="shared" si="316"/>
        <v>0.13955451302158722</v>
      </c>
      <c r="U1062" s="1">
        <f t="shared" si="312"/>
        <v>0.79415456692991215</v>
      </c>
    </row>
    <row r="1063" spans="1:25" x14ac:dyDescent="0.25">
      <c r="A1063" t="s">
        <v>4</v>
      </c>
      <c r="B1063">
        <v>36.304000000000002</v>
      </c>
      <c r="C1063">
        <v>20.2346</v>
      </c>
      <c r="D1063">
        <f t="shared" si="313"/>
        <v>16.069400000000002</v>
      </c>
      <c r="E1063" s="1">
        <f t="shared" si="314"/>
        <v>0.79415456692991215</v>
      </c>
      <c r="I1063" t="s">
        <v>4</v>
      </c>
      <c r="J1063" s="1">
        <f t="shared" si="315"/>
        <v>0.79415456692991215</v>
      </c>
      <c r="K1063" s="1">
        <f t="shared" si="316"/>
        <v>0.34523044685835141</v>
      </c>
      <c r="U1063" s="1">
        <f t="shared" si="312"/>
        <v>0.72248131348623279</v>
      </c>
    </row>
    <row r="1064" spans="1:25" x14ac:dyDescent="0.25">
      <c r="A1064" t="s">
        <v>5</v>
      </c>
      <c r="B1064">
        <v>35.050600000000003</v>
      </c>
      <c r="C1064">
        <v>20.3489</v>
      </c>
      <c r="D1064">
        <f t="shared" si="313"/>
        <v>14.701700000000002</v>
      </c>
      <c r="E1064" s="1">
        <f t="shared" si="314"/>
        <v>0.72248131348623279</v>
      </c>
      <c r="I1064" t="s">
        <v>5</v>
      </c>
      <c r="J1064" s="1">
        <f t="shared" si="315"/>
        <v>0.72248131348623279</v>
      </c>
      <c r="K1064" s="1">
        <f t="shared" si="316"/>
        <v>0.33962523772783776</v>
      </c>
      <c r="U1064" s="1">
        <f t="shared" si="312"/>
        <v>0.73320049911471263</v>
      </c>
    </row>
    <row r="1065" spans="1:25" x14ac:dyDescent="0.25">
      <c r="A1065" t="s">
        <v>6</v>
      </c>
      <c r="B1065">
        <v>35.142200000000003</v>
      </c>
      <c r="C1065">
        <v>20.2759</v>
      </c>
      <c r="D1065">
        <f t="shared" si="313"/>
        <v>14.866300000000003</v>
      </c>
      <c r="E1065" s="1">
        <f t="shared" si="314"/>
        <v>0.73320049911471263</v>
      </c>
      <c r="I1065" t="s">
        <v>6</v>
      </c>
      <c r="J1065" s="1">
        <f t="shared" si="315"/>
        <v>0.73320049911471263</v>
      </c>
      <c r="K1065" s="1">
        <f t="shared" si="316"/>
        <v>0.32004004754412879</v>
      </c>
      <c r="U1065" s="1">
        <f t="shared" si="312"/>
        <v>0.77864663165565262</v>
      </c>
    </row>
    <row r="1066" spans="1:25" x14ac:dyDescent="0.25">
      <c r="A1066" t="s">
        <v>7</v>
      </c>
      <c r="B1066">
        <v>35.392400000000002</v>
      </c>
      <c r="C1066">
        <v>19.898499999999999</v>
      </c>
      <c r="D1066">
        <f t="shared" si="313"/>
        <v>15.493900000000004</v>
      </c>
      <c r="E1066" s="1">
        <f t="shared" si="314"/>
        <v>0.77864663165565262</v>
      </c>
      <c r="I1066" t="s">
        <v>7</v>
      </c>
      <c r="J1066" s="1">
        <f t="shared" si="315"/>
        <v>0.77864663165565262</v>
      </c>
      <c r="K1066" s="1">
        <f t="shared" si="316"/>
        <v>0.35567002537879749</v>
      </c>
      <c r="U1066" s="1">
        <f t="shared" si="312"/>
        <v>0.78337780162921034</v>
      </c>
    </row>
    <row r="1067" spans="1:25" x14ac:dyDescent="0.25">
      <c r="A1067" t="s">
        <v>8</v>
      </c>
      <c r="B1067">
        <v>35.225099999999998</v>
      </c>
      <c r="C1067">
        <v>19.751899999999999</v>
      </c>
      <c r="D1067">
        <f t="shared" si="313"/>
        <v>15.473199999999999</v>
      </c>
      <c r="E1067" s="1">
        <f t="shared" si="314"/>
        <v>0.78337780162921034</v>
      </c>
      <c r="I1067" t="s">
        <v>8</v>
      </c>
      <c r="J1067" s="1">
        <f t="shared" si="315"/>
        <v>0.78337780162921034</v>
      </c>
      <c r="K1067" s="1">
        <f t="shared" si="316"/>
        <v>0.35738334033687907</v>
      </c>
      <c r="U1067" s="1">
        <f t="shared" si="312"/>
        <v>0.68865673277635775</v>
      </c>
    </row>
    <row r="1068" spans="1:25" x14ac:dyDescent="0.25">
      <c r="A1068" t="s">
        <v>9</v>
      </c>
      <c r="B1068">
        <v>33.895899999999997</v>
      </c>
      <c r="C1068">
        <v>20.072700000000001</v>
      </c>
      <c r="D1068">
        <f t="shared" si="313"/>
        <v>13.823199999999996</v>
      </c>
      <c r="E1068" s="1">
        <f t="shared" si="314"/>
        <v>0.68865673277635775</v>
      </c>
      <c r="I1068" t="s">
        <v>9</v>
      </c>
      <c r="J1068" s="1">
        <f t="shared" si="315"/>
        <v>0.68865673277635775</v>
      </c>
      <c r="K1068" s="1">
        <f t="shared" si="316"/>
        <v>0.27889621226840428</v>
      </c>
      <c r="U1068" s="1">
        <f t="shared" si="312"/>
        <v>0.7482311067142674</v>
      </c>
    </row>
    <row r="1069" spans="1:25" x14ac:dyDescent="0.25">
      <c r="A1069" t="s">
        <v>10</v>
      </c>
      <c r="B1069">
        <v>32.515700000000002</v>
      </c>
      <c r="C1069">
        <v>18.5992</v>
      </c>
      <c r="D1069">
        <f t="shared" si="313"/>
        <v>13.916500000000003</v>
      </c>
      <c r="E1069" s="1">
        <f t="shared" si="314"/>
        <v>0.7482311067142674</v>
      </c>
      <c r="I1069" t="s">
        <v>10</v>
      </c>
      <c r="J1069" s="1">
        <f t="shared" si="315"/>
        <v>0.7482311067142674</v>
      </c>
      <c r="K1069" s="1">
        <f t="shared" si="316"/>
        <v>0.24397285904770102</v>
      </c>
      <c r="U1069" s="1">
        <f t="shared" si="312"/>
        <v>0.40872483512230623</v>
      </c>
    </row>
    <row r="1070" spans="1:25" x14ac:dyDescent="0.25">
      <c r="A1070" t="s">
        <v>11</v>
      </c>
      <c r="B1070">
        <v>97.5518</v>
      </c>
      <c r="C1070">
        <v>69.2483</v>
      </c>
      <c r="D1070">
        <f t="shared" si="313"/>
        <v>28.3035</v>
      </c>
      <c r="E1070" s="1">
        <f t="shared" si="314"/>
        <v>0.40872483512230623</v>
      </c>
      <c r="I1070" t="s">
        <v>11</v>
      </c>
      <c r="J1070" s="1">
        <f t="shared" si="315"/>
        <v>0.40872483512230623</v>
      </c>
      <c r="K1070" s="1">
        <f t="shared" si="316"/>
        <v>0.23640147122745256</v>
      </c>
      <c r="U1070" s="1">
        <f t="shared" ref="U1070:U1079" si="317">K1061</f>
        <v>0.1741576014858052</v>
      </c>
    </row>
    <row r="1071" spans="1:25" x14ac:dyDescent="0.25">
      <c r="U1071" s="1">
        <f t="shared" si="317"/>
        <v>0.13955451302158722</v>
      </c>
    </row>
    <row r="1072" spans="1:25" x14ac:dyDescent="0.25">
      <c r="U1072" s="1">
        <f t="shared" si="317"/>
        <v>0.34523044685835141</v>
      </c>
    </row>
    <row r="1073" spans="1:21" x14ac:dyDescent="0.25">
      <c r="A1073" t="s">
        <v>1</v>
      </c>
      <c r="B1073" t="s">
        <v>14</v>
      </c>
      <c r="C1073" t="s">
        <v>13</v>
      </c>
      <c r="I1073" t="s">
        <v>19</v>
      </c>
      <c r="J1073" s="2">
        <f>AVERAGE(J1061:J1070)</f>
        <v>0.69402291043672792</v>
      </c>
      <c r="K1073" s="2">
        <f>AVERAGE(K1061:K1070)</f>
        <v>0.27909317548969442</v>
      </c>
      <c r="U1073" s="1">
        <f t="shared" si="317"/>
        <v>0.33962523772783776</v>
      </c>
    </row>
    <row r="1074" spans="1:21" x14ac:dyDescent="0.25">
      <c r="A1074" t="s">
        <v>2</v>
      </c>
      <c r="B1074">
        <v>24.339700000000001</v>
      </c>
      <c r="C1074">
        <v>20.729500000000002</v>
      </c>
      <c r="D1074">
        <f t="shared" ref="D1074:D1083" si="318">B1074-C1074</f>
        <v>3.610199999999999</v>
      </c>
      <c r="E1074" s="1">
        <f t="shared" ref="E1074:E1083" si="319">D1074/C1074</f>
        <v>0.1741576014858052</v>
      </c>
      <c r="N1074" t="s">
        <v>20</v>
      </c>
      <c r="O1074" s="2">
        <f>MIN(U1060:U1079)</f>
        <v>0.13955451302158722</v>
      </c>
      <c r="U1074" s="1">
        <f t="shared" si="317"/>
        <v>0.32004004754412879</v>
      </c>
    </row>
    <row r="1075" spans="1:21" x14ac:dyDescent="0.25">
      <c r="A1075" t="s">
        <v>3</v>
      </c>
      <c r="B1075">
        <v>23.221499999999999</v>
      </c>
      <c r="C1075">
        <v>20.377700000000001</v>
      </c>
      <c r="D1075">
        <f t="shared" si="318"/>
        <v>2.8437999999999981</v>
      </c>
      <c r="E1075" s="1">
        <f t="shared" si="319"/>
        <v>0.13955451302158722</v>
      </c>
      <c r="N1075" t="s">
        <v>21</v>
      </c>
      <c r="O1075" s="2">
        <f>MAX(U1060:U1079)</f>
        <v>0.79415456692991215</v>
      </c>
      <c r="U1075" s="1">
        <f t="shared" si="317"/>
        <v>0.35567002537879749</v>
      </c>
    </row>
    <row r="1076" spans="1:21" x14ac:dyDescent="0.25">
      <c r="A1076" t="s">
        <v>4</v>
      </c>
      <c r="B1076">
        <v>27.220199999999998</v>
      </c>
      <c r="C1076">
        <v>20.2346</v>
      </c>
      <c r="D1076">
        <f t="shared" si="318"/>
        <v>6.985599999999998</v>
      </c>
      <c r="E1076" s="1">
        <f t="shared" si="319"/>
        <v>0.34523044685835141</v>
      </c>
      <c r="N1076" t="s">
        <v>22</v>
      </c>
      <c r="O1076" s="2">
        <f>AVERAGE(U1060:U1079)</f>
        <v>0.48655804296321126</v>
      </c>
      <c r="U1076" s="1">
        <f t="shared" si="317"/>
        <v>0.35738334033687907</v>
      </c>
    </row>
    <row r="1077" spans="1:21" x14ac:dyDescent="0.25">
      <c r="A1077" t="s">
        <v>5</v>
      </c>
      <c r="B1077">
        <v>27.259899999999998</v>
      </c>
      <c r="C1077">
        <v>20.3489</v>
      </c>
      <c r="D1077">
        <f t="shared" si="318"/>
        <v>6.9109999999999978</v>
      </c>
      <c r="E1077" s="1">
        <f t="shared" si="319"/>
        <v>0.33962523772783776</v>
      </c>
      <c r="U1077" s="1">
        <f t="shared" si="317"/>
        <v>0.27889621226840428</v>
      </c>
    </row>
    <row r="1078" spans="1:21" x14ac:dyDescent="0.25">
      <c r="A1078" t="s">
        <v>6</v>
      </c>
      <c r="B1078">
        <v>26.765000000000001</v>
      </c>
      <c r="C1078">
        <v>20.2759</v>
      </c>
      <c r="D1078">
        <f t="shared" si="318"/>
        <v>6.4891000000000005</v>
      </c>
      <c r="E1078" s="1">
        <f t="shared" si="319"/>
        <v>0.32004004754412879</v>
      </c>
      <c r="U1078" s="1">
        <f t="shared" si="317"/>
        <v>0.24397285904770102</v>
      </c>
    </row>
    <row r="1079" spans="1:21" x14ac:dyDescent="0.25">
      <c r="A1079" t="s">
        <v>7</v>
      </c>
      <c r="B1079">
        <v>26.9758</v>
      </c>
      <c r="C1079">
        <v>19.898499999999999</v>
      </c>
      <c r="D1079">
        <f t="shared" si="318"/>
        <v>7.077300000000001</v>
      </c>
      <c r="E1079" s="1">
        <f t="shared" si="319"/>
        <v>0.35567002537879749</v>
      </c>
      <c r="U1079" s="1">
        <f t="shared" si="317"/>
        <v>0.23640147122745256</v>
      </c>
    </row>
    <row r="1080" spans="1:21" x14ac:dyDescent="0.25">
      <c r="A1080" t="s">
        <v>8</v>
      </c>
      <c r="B1080">
        <v>26.8109</v>
      </c>
      <c r="C1080">
        <v>19.751899999999999</v>
      </c>
      <c r="D1080">
        <f t="shared" si="318"/>
        <v>7.0590000000000011</v>
      </c>
      <c r="E1080" s="1">
        <f t="shared" si="319"/>
        <v>0.35738334033687907</v>
      </c>
    </row>
    <row r="1081" spans="1:21" x14ac:dyDescent="0.25">
      <c r="A1081" t="s">
        <v>9</v>
      </c>
      <c r="B1081">
        <v>25.6709</v>
      </c>
      <c r="C1081">
        <v>20.072700000000001</v>
      </c>
      <c r="D1081">
        <f t="shared" si="318"/>
        <v>5.5981999999999985</v>
      </c>
      <c r="E1081" s="1">
        <f t="shared" si="319"/>
        <v>0.27889621226840428</v>
      </c>
    </row>
    <row r="1082" spans="1:21" x14ac:dyDescent="0.25">
      <c r="A1082" t="s">
        <v>10</v>
      </c>
      <c r="B1082">
        <v>23.136900000000001</v>
      </c>
      <c r="C1082">
        <v>18.5992</v>
      </c>
      <c r="D1082">
        <f t="shared" si="318"/>
        <v>4.537700000000001</v>
      </c>
      <c r="E1082" s="1">
        <f t="shared" si="319"/>
        <v>0.24397285904770102</v>
      </c>
    </row>
    <row r="1083" spans="1:21" x14ac:dyDescent="0.25">
      <c r="A1083" t="s">
        <v>11</v>
      </c>
      <c r="B1083">
        <v>85.618700000000004</v>
      </c>
      <c r="C1083">
        <v>69.2483</v>
      </c>
      <c r="D1083">
        <f t="shared" si="318"/>
        <v>16.370400000000004</v>
      </c>
      <c r="E1083" s="1">
        <f t="shared" si="319"/>
        <v>0.23640147122745256</v>
      </c>
    </row>
  </sheetData>
  <mergeCells count="41">
    <mergeCell ref="A950:B950"/>
    <mergeCell ref="A977:B977"/>
    <mergeCell ref="A1004:B1004"/>
    <mergeCell ref="A1031:B1031"/>
    <mergeCell ref="A1058:B1058"/>
    <mergeCell ref="A788:B788"/>
    <mergeCell ref="A815:B815"/>
    <mergeCell ref="A842:B842"/>
    <mergeCell ref="A869:B869"/>
    <mergeCell ref="A896:B896"/>
    <mergeCell ref="A923:B923"/>
    <mergeCell ref="A626:B626"/>
    <mergeCell ref="A653:B653"/>
    <mergeCell ref="A680:B680"/>
    <mergeCell ref="A707:B707"/>
    <mergeCell ref="A734:B734"/>
    <mergeCell ref="A761:B761"/>
    <mergeCell ref="A487:B487"/>
    <mergeCell ref="A514:B514"/>
    <mergeCell ref="A543:E543"/>
    <mergeCell ref="A545:B545"/>
    <mergeCell ref="A572:B572"/>
    <mergeCell ref="A599:B599"/>
    <mergeCell ref="A325:B325"/>
    <mergeCell ref="A352:B352"/>
    <mergeCell ref="A379:B379"/>
    <mergeCell ref="A406:B406"/>
    <mergeCell ref="A433:B433"/>
    <mergeCell ref="A460:B460"/>
    <mergeCell ref="A163:B163"/>
    <mergeCell ref="A190:B190"/>
    <mergeCell ref="A217:B217"/>
    <mergeCell ref="A244:B244"/>
    <mergeCell ref="A271:B271"/>
    <mergeCell ref="A298:B298"/>
    <mergeCell ref="A1:B1"/>
    <mergeCell ref="A28:B28"/>
    <mergeCell ref="A55:B55"/>
    <mergeCell ref="A82:B82"/>
    <mergeCell ref="A109:B109"/>
    <mergeCell ref="A136:B1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9AF1-D048-45B5-AAD2-28F8EDC33E56}">
  <dimension ref="C4:I33"/>
  <sheetViews>
    <sheetView tabSelected="1" workbookViewId="0">
      <selection activeCell="F31" sqref="F31"/>
    </sheetView>
  </sheetViews>
  <sheetFormatPr defaultRowHeight="15" x14ac:dyDescent="0.25"/>
  <cols>
    <col min="3" max="3" width="30.5703125" customWidth="1"/>
  </cols>
  <sheetData>
    <row r="4" spans="3:9" ht="15.75" thickBot="1" x14ac:dyDescent="0.3"/>
    <row r="5" spans="3:9" x14ac:dyDescent="0.25">
      <c r="C5" s="12"/>
      <c r="D5" s="13" t="s">
        <v>75</v>
      </c>
      <c r="E5" s="14"/>
      <c r="F5" s="16"/>
      <c r="G5" s="14" t="s">
        <v>76</v>
      </c>
      <c r="H5" s="14"/>
      <c r="I5" s="16"/>
    </row>
    <row r="6" spans="3:9" x14ac:dyDescent="0.25">
      <c r="C6" s="28" t="s">
        <v>66</v>
      </c>
      <c r="D6" s="20" t="s">
        <v>72</v>
      </c>
      <c r="E6" s="15" t="s">
        <v>73</v>
      </c>
      <c r="F6" s="21" t="s">
        <v>71</v>
      </c>
      <c r="G6" s="37" t="s">
        <v>74</v>
      </c>
      <c r="H6" s="15" t="s">
        <v>73</v>
      </c>
      <c r="I6" s="21" t="s">
        <v>71</v>
      </c>
    </row>
    <row r="7" spans="3:9" ht="30" x14ac:dyDescent="0.25">
      <c r="C7" s="29" t="s">
        <v>67</v>
      </c>
      <c r="D7" s="10">
        <v>0.21</v>
      </c>
      <c r="E7" s="8">
        <v>0.42</v>
      </c>
      <c r="F7" s="11">
        <v>0.31</v>
      </c>
      <c r="G7" s="9">
        <v>0.21</v>
      </c>
      <c r="H7" s="8">
        <v>0.45</v>
      </c>
      <c r="I7" s="11">
        <v>0.3</v>
      </c>
    </row>
    <row r="8" spans="3:9" ht="30" x14ac:dyDescent="0.25">
      <c r="C8" s="29" t="s">
        <v>68</v>
      </c>
      <c r="D8" s="17">
        <v>0.85</v>
      </c>
      <c r="E8" s="18">
        <v>1.46</v>
      </c>
      <c r="F8" s="19">
        <v>1.18</v>
      </c>
      <c r="G8" s="36">
        <v>0.84</v>
      </c>
      <c r="H8" s="18">
        <v>1.36</v>
      </c>
      <c r="I8" s="19">
        <v>1.1399999999999999</v>
      </c>
    </row>
    <row r="9" spans="3:9" ht="30" x14ac:dyDescent="0.25">
      <c r="C9" s="29" t="s">
        <v>69</v>
      </c>
      <c r="D9" s="17">
        <v>0.83</v>
      </c>
      <c r="E9" s="18">
        <v>1.6</v>
      </c>
      <c r="F9" s="19">
        <v>1.4</v>
      </c>
      <c r="G9" s="36">
        <v>1.1599999999999999</v>
      </c>
      <c r="H9" s="18">
        <v>1.79</v>
      </c>
      <c r="I9" s="19">
        <v>1.62</v>
      </c>
    </row>
    <row r="10" spans="3:9" ht="30" x14ac:dyDescent="0.25">
      <c r="C10" s="29" t="s">
        <v>70</v>
      </c>
      <c r="D10" s="17">
        <v>1.59</v>
      </c>
      <c r="E10" s="18">
        <v>2.7</v>
      </c>
      <c r="F10" s="19">
        <v>2.38</v>
      </c>
      <c r="G10" s="36">
        <v>2.48</v>
      </c>
      <c r="H10" s="18">
        <v>3.47</v>
      </c>
      <c r="I10" s="19">
        <v>2.98</v>
      </c>
    </row>
    <row r="11" spans="3:9" x14ac:dyDescent="0.25">
      <c r="C11" s="30" t="s">
        <v>45</v>
      </c>
      <c r="D11" s="25"/>
      <c r="E11" s="26"/>
      <c r="F11" s="27"/>
      <c r="G11" s="26"/>
      <c r="H11" s="26"/>
      <c r="I11" s="27"/>
    </row>
    <row r="12" spans="3:9" ht="30" x14ac:dyDescent="0.25">
      <c r="C12" s="29" t="s">
        <v>67</v>
      </c>
      <c r="D12" s="10">
        <v>0.08</v>
      </c>
      <c r="E12" s="8">
        <v>0.46</v>
      </c>
      <c r="F12" s="11">
        <v>0.15</v>
      </c>
      <c r="G12" s="9">
        <v>7.0000000000000007E-2</v>
      </c>
      <c r="H12" s="8">
        <v>0.48</v>
      </c>
      <c r="I12" s="11">
        <v>0.15</v>
      </c>
    </row>
    <row r="13" spans="3:9" ht="30" x14ac:dyDescent="0.25">
      <c r="C13" s="29" t="s">
        <v>68</v>
      </c>
      <c r="D13" s="10">
        <v>0.45</v>
      </c>
      <c r="E13" s="8">
        <v>1.02</v>
      </c>
      <c r="F13" s="11">
        <v>0.59</v>
      </c>
      <c r="G13" s="9">
        <v>0.43</v>
      </c>
      <c r="H13" s="8">
        <v>1.1000000000000001</v>
      </c>
      <c r="I13" s="11">
        <v>0.62</v>
      </c>
    </row>
    <row r="14" spans="3:9" ht="30" x14ac:dyDescent="0.25">
      <c r="C14" s="29" t="s">
        <v>69</v>
      </c>
      <c r="D14" s="10">
        <v>0.46</v>
      </c>
      <c r="E14" s="8">
        <v>0.81</v>
      </c>
      <c r="F14" s="11">
        <v>0.67</v>
      </c>
      <c r="G14" s="9">
        <v>0.5</v>
      </c>
      <c r="H14" s="8">
        <v>1.18</v>
      </c>
      <c r="I14" s="11">
        <v>0.75</v>
      </c>
    </row>
    <row r="15" spans="3:9" ht="30.75" thickBot="1" x14ac:dyDescent="0.3">
      <c r="C15" s="31" t="s">
        <v>70</v>
      </c>
      <c r="D15" s="22">
        <v>1.34</v>
      </c>
      <c r="E15" s="23">
        <v>2.21</v>
      </c>
      <c r="F15" s="24">
        <v>1.77</v>
      </c>
      <c r="G15" s="38">
        <v>1.36</v>
      </c>
      <c r="H15" s="23">
        <v>3.05</v>
      </c>
      <c r="I15" s="24">
        <v>1.95</v>
      </c>
    </row>
    <row r="22" spans="3:9" ht="15.75" thickBot="1" x14ac:dyDescent="0.3"/>
    <row r="23" spans="3:9" ht="15.75" thickBot="1" x14ac:dyDescent="0.3">
      <c r="C23" s="12"/>
      <c r="D23" s="13" t="s">
        <v>77</v>
      </c>
      <c r="E23" s="14"/>
      <c r="F23" s="16"/>
      <c r="G23" s="13" t="s">
        <v>78</v>
      </c>
      <c r="H23" s="14"/>
      <c r="I23" s="16"/>
    </row>
    <row r="24" spans="3:9" x14ac:dyDescent="0.25">
      <c r="C24" s="39" t="s">
        <v>66</v>
      </c>
      <c r="D24" s="32" t="s">
        <v>72</v>
      </c>
      <c r="E24" s="33" t="s">
        <v>73</v>
      </c>
      <c r="F24" s="34" t="s">
        <v>71</v>
      </c>
      <c r="G24" s="35" t="s">
        <v>74</v>
      </c>
      <c r="H24" s="33" t="s">
        <v>73</v>
      </c>
      <c r="I24" s="34" t="s">
        <v>71</v>
      </c>
    </row>
    <row r="25" spans="3:9" ht="30" x14ac:dyDescent="0.25">
      <c r="C25" s="29" t="s">
        <v>67</v>
      </c>
      <c r="D25" s="10">
        <v>0.21</v>
      </c>
      <c r="E25" s="8">
        <v>0.45</v>
      </c>
      <c r="F25" s="11">
        <v>0.3</v>
      </c>
      <c r="G25" s="9">
        <v>0.22</v>
      </c>
      <c r="H25" s="8">
        <v>0.46</v>
      </c>
      <c r="I25" s="11">
        <v>0.31</v>
      </c>
    </row>
    <row r="26" spans="3:9" ht="30" x14ac:dyDescent="0.25">
      <c r="C26" s="29" t="s">
        <v>68</v>
      </c>
      <c r="D26" s="17">
        <v>0.84</v>
      </c>
      <c r="E26" s="18">
        <v>1.36</v>
      </c>
      <c r="F26" s="19">
        <v>1.1399999999999999</v>
      </c>
      <c r="G26" s="36">
        <v>0.83</v>
      </c>
      <c r="H26" s="18">
        <v>1.31</v>
      </c>
      <c r="I26" s="19">
        <v>1.1200000000000001</v>
      </c>
    </row>
    <row r="27" spans="3:9" ht="30" x14ac:dyDescent="0.25">
      <c r="C27" s="29" t="s">
        <v>69</v>
      </c>
      <c r="D27" s="17">
        <v>1.1599999999999999</v>
      </c>
      <c r="E27" s="18">
        <v>1.79</v>
      </c>
      <c r="F27" s="19">
        <v>1.62</v>
      </c>
      <c r="G27" s="36">
        <v>1</v>
      </c>
      <c r="H27" s="18">
        <v>1.43</v>
      </c>
      <c r="I27" s="19">
        <v>1.3</v>
      </c>
    </row>
    <row r="28" spans="3:9" ht="30" x14ac:dyDescent="0.25">
      <c r="C28" s="29" t="s">
        <v>70</v>
      </c>
      <c r="D28" s="17">
        <v>2.48</v>
      </c>
      <c r="E28" s="18">
        <v>3.47</v>
      </c>
      <c r="F28" s="19">
        <v>2.98</v>
      </c>
      <c r="G28" s="36">
        <v>1.79</v>
      </c>
      <c r="H28" s="18">
        <v>2.15</v>
      </c>
      <c r="I28" s="19">
        <v>1.96</v>
      </c>
    </row>
    <row r="29" spans="3:9" x14ac:dyDescent="0.25">
      <c r="C29" s="40" t="s">
        <v>45</v>
      </c>
      <c r="D29" s="25"/>
      <c r="E29" s="26"/>
      <c r="F29" s="27"/>
      <c r="G29" s="25"/>
      <c r="H29" s="26"/>
      <c r="I29" s="27"/>
    </row>
    <row r="30" spans="3:9" ht="30" x14ac:dyDescent="0.25">
      <c r="C30" s="29" t="s">
        <v>67</v>
      </c>
      <c r="D30" s="10">
        <v>7.0000000000000007E-2</v>
      </c>
      <c r="E30" s="8">
        <v>0.48</v>
      </c>
      <c r="F30" s="11">
        <v>0.15</v>
      </c>
      <c r="G30" s="9">
        <v>7.0000000000000007E-2</v>
      </c>
      <c r="H30" s="8">
        <v>0.49</v>
      </c>
      <c r="I30" s="11">
        <v>0.15</v>
      </c>
    </row>
    <row r="31" spans="3:9" ht="30" x14ac:dyDescent="0.25">
      <c r="C31" s="29" t="s">
        <v>68</v>
      </c>
      <c r="D31" s="10">
        <v>0.43</v>
      </c>
      <c r="E31" s="8">
        <v>1.1000000000000001</v>
      </c>
      <c r="F31" s="11">
        <v>0.62</v>
      </c>
      <c r="G31" s="9">
        <v>0.44</v>
      </c>
      <c r="H31" s="8">
        <v>1.1499999999999999</v>
      </c>
      <c r="I31" s="11">
        <v>0.64</v>
      </c>
    </row>
    <row r="32" spans="3:9" ht="30" x14ac:dyDescent="0.25">
      <c r="C32" s="29" t="s">
        <v>69</v>
      </c>
      <c r="D32" s="10">
        <v>0.5</v>
      </c>
      <c r="E32" s="8">
        <v>1.18</v>
      </c>
      <c r="F32" s="11">
        <v>0.75</v>
      </c>
      <c r="G32" s="9">
        <v>0.55000000000000004</v>
      </c>
      <c r="H32" s="8">
        <v>0.99</v>
      </c>
      <c r="I32" s="11">
        <v>0.79</v>
      </c>
    </row>
    <row r="33" spans="3:9" ht="30.75" thickBot="1" x14ac:dyDescent="0.3">
      <c r="C33" s="31" t="s">
        <v>70</v>
      </c>
      <c r="D33" s="22">
        <v>1.36</v>
      </c>
      <c r="E33" s="23">
        <v>3.05</v>
      </c>
      <c r="F33" s="24">
        <v>1.95</v>
      </c>
      <c r="G33" s="38">
        <v>1.34</v>
      </c>
      <c r="H33" s="23">
        <v>2.34</v>
      </c>
      <c r="I33" s="24">
        <v>1.9</v>
      </c>
    </row>
  </sheetData>
  <mergeCells count="8">
    <mergeCell ref="D11:F11"/>
    <mergeCell ref="G11:I11"/>
    <mergeCell ref="D29:F29"/>
    <mergeCell ref="G29:I29"/>
    <mergeCell ref="D5:F5"/>
    <mergeCell ref="G5:I5"/>
    <mergeCell ref="D23:F23"/>
    <mergeCell ref="G23:I2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0.1 Seconds Traffic Gen</vt:lpstr>
      <vt:lpstr>0.5 Seconds Traffic Gen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Schoening, Matthew</dc:creator>
  <cp:lastModifiedBy>Schoening, Matthew</cp:lastModifiedBy>
  <dcterms:created xsi:type="dcterms:W3CDTF">2026-04-14T17:34:24Z</dcterms:created>
  <dcterms:modified xsi:type="dcterms:W3CDTF">2026-04-24T03:59:07Z</dcterms:modified>
</cp:coreProperties>
</file>