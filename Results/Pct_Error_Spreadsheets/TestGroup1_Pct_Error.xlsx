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CIS 537\Final Project\charts\"/>
    </mc:Choice>
  </mc:AlternateContent>
  <xr:revisionPtr revIDLastSave="0" documentId="13_ncr:1_{CCFEB913-E719-44A7-9287-256C74344B6C}" xr6:coauthVersionLast="47" xr6:coauthVersionMax="47" xr10:uidLastSave="{00000000-0000-0000-0000-000000000000}"/>
  <bookViews>
    <workbookView xWindow="-52920" yWindow="8160" windowWidth="24240" windowHeight="13140" xr2:uid="{219345A3-B879-4BE8-9EE4-19EBA8378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0" i="1" l="1"/>
  <c r="O47" i="1"/>
  <c r="O46" i="1"/>
  <c r="O19" i="1"/>
  <c r="O18" i="1"/>
  <c r="N211" i="1"/>
  <c r="N210" i="1"/>
  <c r="N209" i="1"/>
  <c r="N183" i="1"/>
  <c r="N182" i="1"/>
  <c r="N181" i="1"/>
  <c r="M157" i="1"/>
  <c r="M156" i="1"/>
  <c r="M155" i="1"/>
  <c r="M130" i="1"/>
  <c r="M129" i="1"/>
  <c r="M128" i="1"/>
  <c r="M104" i="1"/>
  <c r="M103" i="1"/>
  <c r="M102" i="1"/>
  <c r="L77" i="1"/>
  <c r="L76" i="1"/>
  <c r="L75" i="1"/>
  <c r="O48" i="1"/>
  <c r="O20" i="1"/>
  <c r="J16" i="1"/>
  <c r="K16" i="1"/>
  <c r="E194" i="1"/>
  <c r="E195" i="1"/>
  <c r="E196" i="1"/>
  <c r="E197" i="1"/>
  <c r="E198" i="1"/>
  <c r="E199" i="1"/>
  <c r="E200" i="1"/>
  <c r="E201" i="1"/>
  <c r="E202" i="1"/>
  <c r="E203" i="1"/>
  <c r="E207" i="1"/>
  <c r="E208" i="1"/>
  <c r="E209" i="1"/>
  <c r="E210" i="1"/>
  <c r="E211" i="1"/>
  <c r="E212" i="1"/>
  <c r="E213" i="1"/>
  <c r="E214" i="1"/>
  <c r="E215" i="1"/>
  <c r="E216" i="1"/>
  <c r="D194" i="1"/>
  <c r="D195" i="1"/>
  <c r="D196" i="1"/>
  <c r="D197" i="1"/>
  <c r="D198" i="1"/>
  <c r="D199" i="1"/>
  <c r="D200" i="1"/>
  <c r="D201" i="1"/>
  <c r="D202" i="1"/>
  <c r="D203" i="1"/>
  <c r="D207" i="1"/>
  <c r="D208" i="1"/>
  <c r="D209" i="1"/>
  <c r="D210" i="1"/>
  <c r="D211" i="1"/>
  <c r="D212" i="1"/>
  <c r="D213" i="1"/>
  <c r="D214" i="1"/>
  <c r="D215" i="1"/>
  <c r="D216" i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E154" i="1"/>
  <c r="E161" i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3" i="1"/>
  <c r="E153" i="1" s="1"/>
  <c r="D154" i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D162" i="1"/>
  <c r="E162" i="1" s="1"/>
  <c r="E133" i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D134" i="1"/>
  <c r="E134" i="1" s="1"/>
  <c r="D135" i="1"/>
  <c r="E135" i="1" s="1"/>
  <c r="E99" i="1"/>
  <c r="E100" i="1"/>
  <c r="E101" i="1"/>
  <c r="E102" i="1"/>
  <c r="E103" i="1"/>
  <c r="E104" i="1"/>
  <c r="E105" i="1"/>
  <c r="E106" i="1"/>
  <c r="E107" i="1"/>
  <c r="E108" i="1"/>
  <c r="D99" i="1"/>
  <c r="D100" i="1"/>
  <c r="D101" i="1"/>
  <c r="D102" i="1"/>
  <c r="D103" i="1"/>
  <c r="D104" i="1"/>
  <c r="D105" i="1"/>
  <c r="D106" i="1"/>
  <c r="D107" i="1"/>
  <c r="D108" i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45" i="1"/>
  <c r="D46" i="1"/>
  <c r="D47" i="1"/>
  <c r="D48" i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E45" i="1"/>
  <c r="E46" i="1"/>
  <c r="E47" i="1"/>
  <c r="E48" i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D39" i="1"/>
  <c r="E39" i="1" s="1"/>
  <c r="D40" i="1"/>
  <c r="D41" i="1"/>
  <c r="E41" i="1" s="1"/>
  <c r="E38" i="1"/>
  <c r="E40" i="1"/>
  <c r="E17" i="1"/>
  <c r="D17" i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4" i="1"/>
  <c r="E4" i="1" s="1"/>
</calcChain>
</file>

<file path=xl/sharedStrings.xml><?xml version="1.0" encoding="utf-8"?>
<sst xmlns="http://schemas.openxmlformats.org/spreadsheetml/2006/main" count="349" uniqueCount="36">
  <si>
    <t>50 pct avg lossless</t>
  </si>
  <si>
    <t>Flow size</t>
  </si>
  <si>
    <t>1.8k</t>
  </si>
  <si>
    <t>3.5k</t>
  </si>
  <si>
    <t>4.6k</t>
  </si>
  <si>
    <t>5.5k</t>
  </si>
  <si>
    <t>6.3k</t>
  </si>
  <si>
    <t>7.2k</t>
  </si>
  <si>
    <t>8.6k</t>
  </si>
  <si>
    <t>16k</t>
  </si>
  <si>
    <t>31k</t>
  </si>
  <si>
    <t>2.0m</t>
  </si>
  <si>
    <t>Fecmp</t>
  </si>
  <si>
    <t>conweave</t>
  </si>
  <si>
    <t>letflow</t>
  </si>
  <si>
    <t>p99 50pct lossless</t>
  </si>
  <si>
    <t>avg 80pct lossless</t>
  </si>
  <si>
    <t>pct error</t>
  </si>
  <si>
    <t>p99 80pct lossless</t>
  </si>
  <si>
    <t>fecmp</t>
  </si>
  <si>
    <t>avg 50pct irn</t>
  </si>
  <si>
    <t>p99 50pct irn</t>
  </si>
  <si>
    <t>avg 80pct irn</t>
  </si>
  <si>
    <t>p99 80pct irn</t>
  </si>
  <si>
    <t>Flow Size</t>
  </si>
  <si>
    <t>Vs. FECMP</t>
  </si>
  <si>
    <t xml:space="preserve">Vs. Letflow </t>
  </si>
  <si>
    <t>Vs. Letflow</t>
  </si>
  <si>
    <t>Average:</t>
  </si>
  <si>
    <t>min</t>
  </si>
  <si>
    <t>max</t>
  </si>
  <si>
    <t>avg</t>
  </si>
  <si>
    <t>Min</t>
  </si>
  <si>
    <t>Max</t>
  </si>
  <si>
    <t>Avg</t>
  </si>
  <si>
    <t>overall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</si>
</sst>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9" fontId="0" fillId="0" borderId="0" xfId="0" applyNumberFormat="1"/>
    <xf numFmtId="0" fontId="0" fillId="2" borderId="0" xfId="0" applyFill="1" applyAlignment="1">
      <alignment horizontal="center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Conweave vs FECMP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Sheet1!$E$4:$E$13</c:f>
              <c:numCache>
                <c:formatCode>0%</c:formatCode>
                <c:ptCount val="10"/>
                <c:pt idx="0">
                  <c:v>0.34935163996948893</c:v>
                </c:pt>
                <c:pt idx="1">
                  <c:v>0.34940652818991086</c:v>
                </c:pt>
                <c:pt idx="2">
                  <c:v>0.34204630321135171</c:v>
                </c:pt>
                <c:pt idx="3">
                  <c:v>0.29795021961932633</c:v>
                </c:pt>
                <c:pt idx="4">
                  <c:v>0.31781818181818183</c:v>
                </c:pt>
                <c:pt idx="5">
                  <c:v>0.31195335276967923</c:v>
                </c:pt>
                <c:pt idx="6">
                  <c:v>0.32241630276564759</c:v>
                </c:pt>
                <c:pt idx="7">
                  <c:v>0.27209464161447461</c:v>
                </c:pt>
                <c:pt idx="8">
                  <c:v>0.2097402597402597</c:v>
                </c:pt>
                <c:pt idx="9">
                  <c:v>0.41627437794216526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7F-4B40-A486-37A3927F7C8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65228191"/>
        <c:axId val="265223871"/>
      </c:lineChart>
      <c:catAx>
        <c:axId val="265228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223871"/>
        <c:crosses val="autoZero"/>
        <c:auto val="1"/>
        <c:lblAlgn val="ctr"/>
        <c:lblOffset val="100"/>
        <c:noMultiLvlLbl val="0"/>
      </c:catAx>
      <c:valAx>
        <c:axId val="26522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22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</a:t>
            </a:r>
            <a:r>
              <a:rPr lang="en-US" baseline="0"/>
              <a:t> FECMP/Letflow in Avg FCT Slowdowns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Sheet1!$I$4:$I$13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Sheet1!$J$4:$J$13</c:f>
              <c:numCache>
                <c:formatCode>0%</c:formatCode>
                <c:ptCount val="10"/>
                <c:pt idx="0">
                  <c:v>0.34935163996948893</c:v>
                </c:pt>
                <c:pt idx="1">
                  <c:v>0.34940652818991086</c:v>
                </c:pt>
                <c:pt idx="2">
                  <c:v>0.34204630321135171</c:v>
                </c:pt>
                <c:pt idx="3">
                  <c:v>0.29795021961932633</c:v>
                </c:pt>
                <c:pt idx="4">
                  <c:v>0.31781818181818183</c:v>
                </c:pt>
                <c:pt idx="5">
                  <c:v>0.31195335276967923</c:v>
                </c:pt>
                <c:pt idx="6">
                  <c:v>0.32241630276564759</c:v>
                </c:pt>
                <c:pt idx="7">
                  <c:v>0.27209464161447461</c:v>
                </c:pt>
                <c:pt idx="8">
                  <c:v>0.2097402597402597</c:v>
                </c:pt>
                <c:pt idx="9">
                  <c:v>0.41627437794216499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44-4063-B591-6981CBEF4C44}"/>
            </c:ext>
          </c:extLst>
        </c:ser>
        <c:ser>
          <c:idx val="1"/>
          <c:order val="1"/>
          <c:tx>
            <c:strRef>
              <c:f>Sheet1!$K$3</c:f>
              <c:strCache>
                <c:ptCount val="1"/>
                <c:pt idx="0">
                  <c:v>Vs. Letflow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Sheet1!$I$4:$I$13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Sheet1!$K$4:$K$13</c:f>
              <c:numCache>
                <c:formatCode>0%</c:formatCode>
                <c:ptCount val="10"/>
                <c:pt idx="0">
                  <c:v>0.35697940503432496</c:v>
                </c:pt>
                <c:pt idx="1">
                  <c:v>0.30192878338278917</c:v>
                </c:pt>
                <c:pt idx="2">
                  <c:v>0.29200896191187453</c:v>
                </c:pt>
                <c:pt idx="3">
                  <c:v>0.28550512445095161</c:v>
                </c:pt>
                <c:pt idx="4">
                  <c:v>0.3032727272727273</c:v>
                </c:pt>
                <c:pt idx="5">
                  <c:v>0.29883381924198243</c:v>
                </c:pt>
                <c:pt idx="6">
                  <c:v>0.2940320232896651</c:v>
                </c:pt>
                <c:pt idx="7">
                  <c:v>0.24843423799582462</c:v>
                </c:pt>
                <c:pt idx="8">
                  <c:v>0.2084415584415584</c:v>
                </c:pt>
                <c:pt idx="9">
                  <c:v>0.38601210490921306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44-4063-B591-6981CBEF4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42735"/>
        <c:axId val="357046095"/>
      </c:lineChart>
      <c:catAx>
        <c:axId val="35704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6095"/>
        <c:crosses val="autoZero"/>
        <c:auto val="1"/>
        <c:lblAlgn val="ctr"/>
        <c:lblOffset val="100"/>
        <c:noMultiLvlLbl val="0"/>
      </c:catAx>
      <c:valAx>
        <c:axId val="3570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4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ConWeave Improvement over FECMP/Letflow in P99 FCT Slowdowns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Sheet1!$J$31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Sheet1!$I$32:$I$41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Sheet1!$J$32:$J$41</c:f>
              <c:numCache>
                <c:formatCode>0%</c:formatCode>
                <c:ptCount val="10"/>
                <c:pt idx="0">
                  <c:v>1.1718104495747264</c:v>
                </c:pt>
                <c:pt idx="1">
                  <c:v>1.2303627191928896</c:v>
                </c:pt>
                <c:pt idx="2">
                  <c:v>1.464154892726321</c:v>
                </c:pt>
                <c:pt idx="3">
                  <c:v>0.90917559385188662</c:v>
                </c:pt>
                <c:pt idx="4">
                  <c:v>1.0632586367880488</c:v>
                </c:pt>
                <c:pt idx="5">
                  <c:v>1.1560214529497803</c:v>
                </c:pt>
                <c:pt idx="6">
                  <c:v>1.2289613343442003</c:v>
                </c:pt>
                <c:pt idx="7">
                  <c:v>1.2083009079118028</c:v>
                </c:pt>
                <c:pt idx="8">
                  <c:v>0.94767726161369203</c:v>
                </c:pt>
                <c:pt idx="9">
                  <c:v>0.85215982721382288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B-4162-ADBF-15C9D31E4CB9}"/>
            </c:ext>
          </c:extLst>
        </c:ser>
        <c:ser>
          <c:idx val="1"/>
          <c:order val="1"/>
          <c:tx>
            <c:strRef>
              <c:f>Sheet1!$K$31</c:f>
              <c:strCache>
                <c:ptCount val="1"/>
                <c:pt idx="0">
                  <c:v>Vs. Letflow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Sheet1!$I$32:$I$41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Sheet1!$K$32:$K$41</c:f>
              <c:numCache>
                <c:formatCode>0%</c:formatCode>
                <c:ptCount val="10"/>
                <c:pt idx="0">
                  <c:v>1.3786148238153098</c:v>
                </c:pt>
                <c:pt idx="1">
                  <c:v>1.2020177756425652</c:v>
                </c:pt>
                <c:pt idx="2">
                  <c:v>1.3780743066457353</c:v>
                </c:pt>
                <c:pt idx="3">
                  <c:v>1.1397298556124829</c:v>
                </c:pt>
                <c:pt idx="4">
                  <c:v>1.2189542483660132</c:v>
                </c:pt>
                <c:pt idx="5">
                  <c:v>1.2564602632862016</c:v>
                </c:pt>
                <c:pt idx="6">
                  <c:v>1.3378822340156684</c:v>
                </c:pt>
                <c:pt idx="7">
                  <c:v>1.4311284046692605</c:v>
                </c:pt>
                <c:pt idx="8">
                  <c:v>1.0740831295843523</c:v>
                </c:pt>
                <c:pt idx="9">
                  <c:v>0.85885529157667406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6B-4162-ADBF-15C9D31E4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96975"/>
        <c:axId val="357090255"/>
      </c:lineChart>
      <c:catAx>
        <c:axId val="357096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</a:t>
                </a:r>
                <a:r>
                  <a:rPr lang="en-US" baseline="0"/>
                  <a:t> Size (Bytes)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90255"/>
        <c:crosses val="autoZero"/>
        <c:auto val="1"/>
        <c:lblAlgn val="ctr"/>
        <c:lblOffset val="100"/>
        <c:noMultiLvlLbl val="0"/>
      </c:catAx>
      <c:valAx>
        <c:axId val="35709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layout>
            <c:manualLayout>
              <c:xMode val="edge"/>
              <c:yMode val="edge"/>
              <c:x val="1.6596049965871378E-2"/>
              <c:y val="0.347758092738407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9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ConWeave Improvement over FECMP/Letflow in Avg FCT Slowdowns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Sheet1!$J$58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Sheet1!$I$59:$I$68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Sheet1!$J$59:$J$68</c:f>
              <c:numCache>
                <c:formatCode>0%</c:formatCode>
                <c:ptCount val="10"/>
                <c:pt idx="0">
                  <c:v>1.4928725701943846</c:v>
                </c:pt>
                <c:pt idx="1">
                  <c:v>1.5201048951048952</c:v>
                </c:pt>
                <c:pt idx="2">
                  <c:v>1.4523501509271239</c:v>
                </c:pt>
                <c:pt idx="3">
                  <c:v>1.4935008665511267</c:v>
                </c:pt>
                <c:pt idx="4">
                  <c:v>1.3916142557651994</c:v>
                </c:pt>
                <c:pt idx="5">
                  <c:v>1.4579796264855691</c:v>
                </c:pt>
                <c:pt idx="6">
                  <c:v>1.4090528080469404</c:v>
                </c:pt>
                <c:pt idx="7">
                  <c:v>1.3976945244956773</c:v>
                </c:pt>
                <c:pt idx="8">
                  <c:v>1.3092289252896525</c:v>
                </c:pt>
                <c:pt idx="9">
                  <c:v>0.8682340076544558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2-43A4-A3AC-48E864F079FE}"/>
            </c:ext>
          </c:extLst>
        </c:ser>
        <c:ser>
          <c:idx val="1"/>
          <c:order val="1"/>
          <c:tx>
            <c:strRef>
              <c:f>Sheet1!$K$58</c:f>
              <c:strCache>
                <c:ptCount val="1"/>
                <c:pt idx="0">
                  <c:v>Vs. Letflow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Sheet1!$I$59:$I$68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Sheet1!$K$59:$K$68</c:f>
              <c:numCache>
                <c:formatCode>0%</c:formatCode>
                <c:ptCount val="10"/>
                <c:pt idx="0">
                  <c:v>1.5265658747300217</c:v>
                </c:pt>
                <c:pt idx="1">
                  <c:v>1.5887237762237765</c:v>
                </c:pt>
                <c:pt idx="2">
                  <c:v>1.6028460543337644</c:v>
                </c:pt>
                <c:pt idx="3">
                  <c:v>1.5368284228769502</c:v>
                </c:pt>
                <c:pt idx="4">
                  <c:v>1.4679245283018871</c:v>
                </c:pt>
                <c:pt idx="5">
                  <c:v>1.5080645161290323</c:v>
                </c:pt>
                <c:pt idx="6">
                  <c:v>1.4660519698239731</c:v>
                </c:pt>
                <c:pt idx="7">
                  <c:v>1.3927542198435574</c:v>
                </c:pt>
                <c:pt idx="8">
                  <c:v>1.3403915301638032</c:v>
                </c:pt>
                <c:pt idx="9">
                  <c:v>0.8263167486786952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F2-43A4-A3AC-48E864F07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110895"/>
        <c:axId val="357132015"/>
      </c:lineChart>
      <c:catAx>
        <c:axId val="357110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32015"/>
        <c:crosses val="autoZero"/>
        <c:auto val="1"/>
        <c:lblAlgn val="ctr"/>
        <c:lblOffset val="100"/>
        <c:noMultiLvlLbl val="0"/>
      </c:catAx>
      <c:valAx>
        <c:axId val="35713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1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ConWeave Improvement over FECMP/Letflow in P99 FCT Slowdowns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Sheet1!$J$85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Sheet1!$I$86:$I$95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Sheet1!$J$86:$J$95</c:f>
              <c:numCache>
                <c:formatCode>0%</c:formatCode>
                <c:ptCount val="10"/>
                <c:pt idx="0">
                  <c:v>2.4523270181219115</c:v>
                </c:pt>
                <c:pt idx="1">
                  <c:v>2.602226064404582</c:v>
                </c:pt>
                <c:pt idx="2">
                  <c:v>2.4547117039586923</c:v>
                </c:pt>
                <c:pt idx="3">
                  <c:v>2.5617928633594431</c:v>
                </c:pt>
                <c:pt idx="4">
                  <c:v>2.2430434336174141</c:v>
                </c:pt>
                <c:pt idx="5">
                  <c:v>2.6017188859878155</c:v>
                </c:pt>
                <c:pt idx="6">
                  <c:v>2.4847259180415113</c:v>
                </c:pt>
                <c:pt idx="7">
                  <c:v>2.4207820032137115</c:v>
                </c:pt>
                <c:pt idx="8">
                  <c:v>2.6964856230031953</c:v>
                </c:pt>
                <c:pt idx="9">
                  <c:v>1.588097141714971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4-4B2C-B2F7-16CBA8DDB134}"/>
            </c:ext>
          </c:extLst>
        </c:ser>
        <c:ser>
          <c:idx val="1"/>
          <c:order val="1"/>
          <c:tx>
            <c:strRef>
              <c:f>Sheet1!$K$85</c:f>
              <c:strCache>
                <c:ptCount val="1"/>
                <c:pt idx="0">
                  <c:v>Vs. Letflow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Sheet1!$I$86:$I$95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Sheet1!$K$86:$K$95</c:f>
              <c:numCache>
                <c:formatCode>0%</c:formatCode>
                <c:ptCount val="10"/>
                <c:pt idx="0">
                  <c:v>2.445634266886326</c:v>
                </c:pt>
                <c:pt idx="1">
                  <c:v>2.3644910309055547</c:v>
                </c:pt>
                <c:pt idx="2">
                  <c:v>2.5569061962134252</c:v>
                </c:pt>
                <c:pt idx="3">
                  <c:v>2.6548085291557872</c:v>
                </c:pt>
                <c:pt idx="4">
                  <c:v>2.393674915289044</c:v>
                </c:pt>
                <c:pt idx="5">
                  <c:v>2.4093777197563098</c:v>
                </c:pt>
                <c:pt idx="6">
                  <c:v>2.3613624268227782</c:v>
                </c:pt>
                <c:pt idx="7">
                  <c:v>2.3250133904659882</c:v>
                </c:pt>
                <c:pt idx="8">
                  <c:v>2.4300811010076191</c:v>
                </c:pt>
                <c:pt idx="9">
                  <c:v>1.6454127523485906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54-4B2C-B2F7-16CBA8DDB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111375"/>
        <c:axId val="357101775"/>
      </c:lineChart>
      <c:catAx>
        <c:axId val="357111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01775"/>
        <c:crosses val="autoZero"/>
        <c:auto val="1"/>
        <c:lblAlgn val="ctr"/>
        <c:lblOffset val="100"/>
        <c:noMultiLvlLbl val="0"/>
      </c:catAx>
      <c:valAx>
        <c:axId val="35710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Improvement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1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ConWeave Improvement over FECMP/Letflow in Avg FCT Slowdowns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Sheet1!$J$112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Sheet1!$I$113:$I$122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Sheet1!$J$113:$J$122</c:f>
              <c:numCache>
                <c:formatCode>0%</c:formatCode>
                <c:ptCount val="10"/>
                <c:pt idx="0">
                  <c:v>0.12892561983471088</c:v>
                </c:pt>
                <c:pt idx="1">
                  <c:v>0.13983739837398368</c:v>
                </c:pt>
                <c:pt idx="2">
                  <c:v>0.12349639133921403</c:v>
                </c:pt>
                <c:pt idx="3">
                  <c:v>0.11084718923198744</c:v>
                </c:pt>
                <c:pt idx="4">
                  <c:v>0.11233307148468187</c:v>
                </c:pt>
                <c:pt idx="5">
                  <c:v>0.10998439937597505</c:v>
                </c:pt>
                <c:pt idx="6">
                  <c:v>0.11361867704280167</c:v>
                </c:pt>
                <c:pt idx="7">
                  <c:v>0.11169415292353824</c:v>
                </c:pt>
                <c:pt idx="8">
                  <c:v>7.9111727966689707E-2</c:v>
                </c:pt>
                <c:pt idx="9">
                  <c:v>0.46376221498371345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2C-48D1-96F7-B957CB861FE5}"/>
            </c:ext>
          </c:extLst>
        </c:ser>
        <c:ser>
          <c:idx val="1"/>
          <c:order val="1"/>
          <c:tx>
            <c:strRef>
              <c:f>Sheet1!$K$112</c:f>
              <c:strCache>
                <c:ptCount val="1"/>
                <c:pt idx="0">
                  <c:v>Vs. Letflow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Sheet1!$I$113:$I$122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Sheet1!$K$113:$K$122</c:f>
              <c:numCache>
                <c:formatCode>0%</c:formatCode>
                <c:ptCount val="10"/>
                <c:pt idx="0">
                  <c:v>0.13719008264462804</c:v>
                </c:pt>
                <c:pt idx="1">
                  <c:v>0.13577235772357726</c:v>
                </c:pt>
                <c:pt idx="2">
                  <c:v>0.11708099438652758</c:v>
                </c:pt>
                <c:pt idx="3">
                  <c:v>0.11876484560570083</c:v>
                </c:pt>
                <c:pt idx="4">
                  <c:v>0.11783189316575031</c:v>
                </c:pt>
                <c:pt idx="5">
                  <c:v>0.10998439937597505</c:v>
                </c:pt>
                <c:pt idx="6">
                  <c:v>0.1151750972762647</c:v>
                </c:pt>
                <c:pt idx="7">
                  <c:v>0.10569715142428786</c:v>
                </c:pt>
                <c:pt idx="8">
                  <c:v>7.8417765440666198E-2</c:v>
                </c:pt>
                <c:pt idx="9">
                  <c:v>0.43851791530944623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2C-48D1-96F7-B957CB861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118575"/>
        <c:axId val="357108015"/>
      </c:lineChart>
      <c:catAx>
        <c:axId val="35711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08015"/>
        <c:crosses val="autoZero"/>
        <c:auto val="1"/>
        <c:lblAlgn val="ctr"/>
        <c:lblOffset val="100"/>
        <c:noMultiLvlLbl val="0"/>
      </c:catAx>
      <c:valAx>
        <c:axId val="35710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1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ConWeave Improvement over FECMP/Letflow in P99 FCT Slowdowns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Sheet1!$J$139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Sheet1!$I$140:$I$149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Sheet1!$J$140:$J$149</c:f>
              <c:numCache>
                <c:formatCode>0%</c:formatCode>
                <c:ptCount val="10"/>
                <c:pt idx="0">
                  <c:v>0.55382003395585733</c:v>
                </c:pt>
                <c:pt idx="1">
                  <c:v>0.52912142152023689</c:v>
                </c:pt>
                <c:pt idx="2">
                  <c:v>0.62405271828665565</c:v>
                </c:pt>
                <c:pt idx="3">
                  <c:v>0.61992741669416029</c:v>
                </c:pt>
                <c:pt idx="4">
                  <c:v>0.45057096247960843</c:v>
                </c:pt>
                <c:pt idx="5">
                  <c:v>0.59844647078689628</c:v>
                </c:pt>
                <c:pt idx="6">
                  <c:v>0.52927631578947365</c:v>
                </c:pt>
                <c:pt idx="7">
                  <c:v>0.5531424810793022</c:v>
                </c:pt>
                <c:pt idx="8">
                  <c:v>0.47196870925684481</c:v>
                </c:pt>
                <c:pt idx="9">
                  <c:v>0.98565941101152366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D-4309-AEF8-B0F0FC2A58E6}"/>
            </c:ext>
          </c:extLst>
        </c:ser>
        <c:ser>
          <c:idx val="1"/>
          <c:order val="1"/>
          <c:tx>
            <c:strRef>
              <c:f>Sheet1!$K$139</c:f>
              <c:strCache>
                <c:ptCount val="1"/>
                <c:pt idx="0">
                  <c:v>Vs. Letflow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Sheet1!$I$140:$I$149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Sheet1!$K$140:$K$149</c:f>
              <c:numCache>
                <c:formatCode>0%</c:formatCode>
                <c:ptCount val="10"/>
                <c:pt idx="0">
                  <c:v>0.61799660441426141</c:v>
                </c:pt>
                <c:pt idx="1">
                  <c:v>0.55709114840408025</c:v>
                </c:pt>
                <c:pt idx="2">
                  <c:v>0.49686985172981873</c:v>
                </c:pt>
                <c:pt idx="3">
                  <c:v>0.53381722203893101</c:v>
                </c:pt>
                <c:pt idx="4">
                  <c:v>0.51908646003262637</c:v>
                </c:pt>
                <c:pt idx="5">
                  <c:v>0.66430260047281331</c:v>
                </c:pt>
                <c:pt idx="6">
                  <c:v>0.54605263157894746</c:v>
                </c:pt>
                <c:pt idx="7">
                  <c:v>0.49457058242843027</c:v>
                </c:pt>
                <c:pt idx="8">
                  <c:v>0.47001303780964787</c:v>
                </c:pt>
                <c:pt idx="9">
                  <c:v>1.0213828425096032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6D-4309-AEF8-B0F0FC2A5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100335"/>
        <c:axId val="357097455"/>
      </c:lineChart>
      <c:catAx>
        <c:axId val="357100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Size (Bytes)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97455"/>
        <c:crosses val="autoZero"/>
        <c:auto val="1"/>
        <c:lblAlgn val="ctr"/>
        <c:lblOffset val="100"/>
        <c:noMultiLvlLbl val="0"/>
      </c:catAx>
      <c:valAx>
        <c:axId val="35709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0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ConWeave Improvement over FECMP/Letflow in Avg FCT Slowdowns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Sheet1!$J$166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Sheet1!$I$167:$I$176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Sheet1!$J$167:$J$176</c:f>
              <c:numCache>
                <c:formatCode>0%</c:formatCode>
                <c:ptCount val="10"/>
                <c:pt idx="0">
                  <c:v>0.76303592120509856</c:v>
                </c:pt>
                <c:pt idx="1">
                  <c:v>0.77149451817657222</c:v>
                </c:pt>
                <c:pt idx="2">
                  <c:v>0.75873925501432649</c:v>
                </c:pt>
                <c:pt idx="3">
                  <c:v>0.71171171171171166</c:v>
                </c:pt>
                <c:pt idx="4">
                  <c:v>0.67205800334634713</c:v>
                </c:pt>
                <c:pt idx="5">
                  <c:v>0.65027624309392262</c:v>
                </c:pt>
                <c:pt idx="6">
                  <c:v>0.67369589345172032</c:v>
                </c:pt>
                <c:pt idx="7">
                  <c:v>0.60987261146496818</c:v>
                </c:pt>
                <c:pt idx="8">
                  <c:v>0.49162561576354696</c:v>
                </c:pt>
                <c:pt idx="9">
                  <c:v>0.80633802816901423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3-42D7-BBEE-52D198C4D22C}"/>
            </c:ext>
          </c:extLst>
        </c:ser>
        <c:ser>
          <c:idx val="1"/>
          <c:order val="1"/>
          <c:tx>
            <c:strRef>
              <c:f>Sheet1!$K$166</c:f>
              <c:strCache>
                <c:ptCount val="1"/>
                <c:pt idx="0">
                  <c:v>Vs. Letflow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Sheet1!$I$167:$I$176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Sheet1!$K$167:$K$176</c:f>
              <c:numCache>
                <c:formatCode>0%</c:formatCode>
                <c:ptCount val="10"/>
                <c:pt idx="0">
                  <c:v>0.67381228273464644</c:v>
                </c:pt>
                <c:pt idx="1">
                  <c:v>0.68667051356029996</c:v>
                </c:pt>
                <c:pt idx="2">
                  <c:v>0.67564469914040104</c:v>
                </c:pt>
                <c:pt idx="3">
                  <c:v>0.6509009009009008</c:v>
                </c:pt>
                <c:pt idx="4">
                  <c:v>0.63915225878416071</c:v>
                </c:pt>
                <c:pt idx="5">
                  <c:v>0.62044198895027614</c:v>
                </c:pt>
                <c:pt idx="6">
                  <c:v>0.6437291897891233</c:v>
                </c:pt>
                <c:pt idx="7">
                  <c:v>0.58439490445859876</c:v>
                </c:pt>
                <c:pt idx="8">
                  <c:v>0.45960591133004947</c:v>
                </c:pt>
                <c:pt idx="9">
                  <c:v>0.80259683098591583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E3-42D7-BBEE-52D198C4D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115215"/>
        <c:axId val="357115695"/>
      </c:lineChart>
      <c:catAx>
        <c:axId val="357115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</a:t>
                </a:r>
                <a:r>
                  <a:rPr lang="en-US" baseline="0"/>
                  <a:t> Size (Bytes)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15695"/>
        <c:crosses val="autoZero"/>
        <c:auto val="1"/>
        <c:lblAlgn val="ctr"/>
        <c:lblOffset val="100"/>
        <c:noMultiLvlLbl val="0"/>
      </c:catAx>
      <c:valAx>
        <c:axId val="35711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1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ConWeave Improvement over FECMP/Letflow in P99 FCT Slowdowns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Sheet1!$J$193</c:f>
              <c:strCache>
                <c:ptCount val="1"/>
                <c:pt idx="0">
                  <c:v>Vs. FECMP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Sheet1!$I$194:$I$203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Sheet1!$J$194:$J$203</c:f>
              <c:numCache>
                <c:formatCode>0%</c:formatCode>
                <c:ptCount val="10"/>
                <c:pt idx="0">
                  <c:v>2.1589296574092844</c:v>
                </c:pt>
                <c:pt idx="1">
                  <c:v>2.0422760969745544</c:v>
                </c:pt>
                <c:pt idx="2">
                  <c:v>1.9674484431864134</c:v>
                </c:pt>
                <c:pt idx="3">
                  <c:v>2.2077812828601475</c:v>
                </c:pt>
                <c:pt idx="4">
                  <c:v>1.8485576923076925</c:v>
                </c:pt>
                <c:pt idx="5">
                  <c:v>1.9014373716632447</c:v>
                </c:pt>
                <c:pt idx="6">
                  <c:v>1.8842404549147032</c:v>
                </c:pt>
                <c:pt idx="7">
                  <c:v>1.7894523326572012</c:v>
                </c:pt>
                <c:pt idx="8">
                  <c:v>1.6222770242498974</c:v>
                </c:pt>
                <c:pt idx="9">
                  <c:v>2.0282337491792513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7-46D7-82D9-0908B6329882}"/>
            </c:ext>
          </c:extLst>
        </c:ser>
        <c:ser>
          <c:idx val="1"/>
          <c:order val="1"/>
          <c:tx>
            <c:strRef>
              <c:f>Sheet1!$K$193</c:f>
              <c:strCache>
                <c:ptCount val="1"/>
                <c:pt idx="0">
                  <c:v>Vs. Letflow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Sheet1!$I$194:$I$203</c:f>
              <c:strCache>
                <c:ptCount val="10"/>
                <c:pt idx="0">
                  <c:v>1.8k</c:v>
                </c:pt>
                <c:pt idx="1">
                  <c:v>3.5k</c:v>
                </c:pt>
                <c:pt idx="2">
                  <c:v>4.6k</c:v>
                </c:pt>
                <c:pt idx="3">
                  <c:v>5.5k</c:v>
                </c:pt>
                <c:pt idx="4">
                  <c:v>6.3k</c:v>
                </c:pt>
                <c:pt idx="5">
                  <c:v>7.2k</c:v>
                </c:pt>
                <c:pt idx="6">
                  <c:v>8.6k</c:v>
                </c:pt>
                <c:pt idx="7">
                  <c:v>16k</c:v>
                </c:pt>
                <c:pt idx="8">
                  <c:v>31k</c:v>
                </c:pt>
                <c:pt idx="9">
                  <c:v>2.0m</c:v>
                </c:pt>
              </c:strCache>
            </c:strRef>
          </c:cat>
          <c:val>
            <c:numRef>
              <c:f>Sheet1!$K$194:$K$203</c:f>
              <c:numCache>
                <c:formatCode>0%</c:formatCode>
                <c:ptCount val="10"/>
                <c:pt idx="0">
                  <c:v>1.5846340968984391</c:v>
                </c:pt>
                <c:pt idx="1">
                  <c:v>1.5570026046884395</c:v>
                </c:pt>
                <c:pt idx="2">
                  <c:v>1.5329559239789732</c:v>
                </c:pt>
                <c:pt idx="3">
                  <c:v>1.7127234490010512</c:v>
                </c:pt>
                <c:pt idx="4">
                  <c:v>1.5799278846153846</c:v>
                </c:pt>
                <c:pt idx="5">
                  <c:v>1.5722792607802873</c:v>
                </c:pt>
                <c:pt idx="6">
                  <c:v>1.6064175467099917</c:v>
                </c:pt>
                <c:pt idx="7">
                  <c:v>1.5614604462474646</c:v>
                </c:pt>
                <c:pt idx="8">
                  <c:v>1.3436087135224004</c:v>
                </c:pt>
                <c:pt idx="9">
                  <c:v>1.8780695994747207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7-46D7-82D9-0908B6329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82575"/>
        <c:axId val="357076815"/>
      </c:lineChart>
      <c:catAx>
        <c:axId val="35708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</a:t>
                </a:r>
                <a:r>
                  <a:rPr lang="en-US" baseline="0"/>
                  <a:t> Size (Bytes)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76815"/>
        <c:crosses val="autoZero"/>
        <c:auto val="1"/>
        <c:lblAlgn val="ctr"/>
        <c:lblOffset val="100"/>
        <c:noMultiLvlLbl val="0"/>
      </c:catAx>
      <c:valAx>
        <c:axId val="35707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8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223837</xdr:colOff>
      <xdr:row>1</xdr:row>
      <xdr:rowOff>4762</xdr:rowOff>
    </xdr:from>
    <xdr:to>
      <xdr:col>38</xdr:col>
      <xdr:colOff>528637</xdr:colOff>
      <xdr:row>15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B7C304-CAB8-DB6C-2C75-9AFC4E10D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123458</xdr:colOff>
      <xdr:row>0</xdr:row>
      <xdr:rowOff>176212</xdr:rowOff>
    </xdr:from>
    <xdr:to>
      <xdr:col>18</xdr:col>
      <xdr:colOff>428259</xdr:colOff>
      <xdr:row>15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EEB83A-BACA-7D83-1E58-213ADAA6C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278422</xdr:colOff>
      <xdr:row>29</xdr:row>
      <xdr:rowOff>189035</xdr:rowOff>
    </xdr:from>
    <xdr:to>
      <xdr:col>18</xdr:col>
      <xdr:colOff>593480</xdr:colOff>
      <xdr:row>44</xdr:row>
      <xdr:rowOff>74735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FEFB255-B16B-6D26-C173-A722638A0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262472</xdr:colOff>
      <xdr:row>57</xdr:row>
      <xdr:rowOff>8881</xdr:rowOff>
    </xdr:from>
    <xdr:to>
      <xdr:col>18</xdr:col>
      <xdr:colOff>558076</xdr:colOff>
      <xdr:row>71</xdr:row>
      <xdr:rowOff>85081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0DF0206-9E33-3383-EE1A-B6DE701D5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165652</xdr:colOff>
      <xdr:row>84</xdr:row>
      <xdr:rowOff>19878</xdr:rowOff>
    </xdr:from>
    <xdr:to>
      <xdr:col>18</xdr:col>
      <xdr:colOff>447260</xdr:colOff>
      <xdr:row>98</xdr:row>
      <xdr:rowOff>96078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CB8442F-B7E5-277F-2E00-DD28A2C8F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78685</xdr:colOff>
      <xdr:row>111</xdr:row>
      <xdr:rowOff>19878</xdr:rowOff>
    </xdr:from>
    <xdr:to>
      <xdr:col>18</xdr:col>
      <xdr:colOff>360293</xdr:colOff>
      <xdr:row>125</xdr:row>
      <xdr:rowOff>96078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68570D-4CB7-5594-9A9E-D21E5F565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70402</xdr:colOff>
      <xdr:row>138</xdr:row>
      <xdr:rowOff>19878</xdr:rowOff>
    </xdr:from>
    <xdr:to>
      <xdr:col>18</xdr:col>
      <xdr:colOff>352010</xdr:colOff>
      <xdr:row>152</xdr:row>
      <xdr:rowOff>96078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558B8C8-BF5B-63A7-1072-D7B409591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144946</xdr:colOff>
      <xdr:row>164</xdr:row>
      <xdr:rowOff>177248</xdr:rowOff>
    </xdr:from>
    <xdr:to>
      <xdr:col>18</xdr:col>
      <xdr:colOff>426554</xdr:colOff>
      <xdr:row>179</xdr:row>
      <xdr:rowOff>62948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7A39CE3-25E7-EF8D-E578-A1F67195E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120098</xdr:colOff>
      <xdr:row>192</xdr:row>
      <xdr:rowOff>11595</xdr:rowOff>
    </xdr:from>
    <xdr:to>
      <xdr:col>18</xdr:col>
      <xdr:colOff>401706</xdr:colOff>
      <xdr:row>206</xdr:row>
      <xdr:rowOff>87795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B5711FA-B64C-A6BF-AE4E-63E4F36A7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110B-7CD4-41E3-BEE7-74AAF83F2168}">
  <dimension ref="A1:Z216"/>
  <sheetViews>
    <sheetView tabSelected="1" topLeftCell="M19" zoomScale="115" zoomScaleNormal="115" workbookViewId="0">
      <selection activeCell="U3" sqref="U3"/>
    </sheetView>
  </sheetViews>
  <sheetFormatPr defaultRowHeight="15" x14ac:dyDescent="0.25"/>
  <cols>
    <col min="25" max="25" width="13.28515625" customWidth="1"/>
    <col min="26" max="26" width="13.28515625" bestFit="1" customWidth="1"/>
  </cols>
  <sheetData>
    <row r="1" spans="1:21" x14ac:dyDescent="0.25">
      <c r="A1" s="3" t="s">
        <v>0</v>
      </c>
      <c r="B1" s="3"/>
    </row>
    <row r="3" spans="1:21" x14ac:dyDescent="0.25">
      <c r="A3" t="s">
        <v>1</v>
      </c>
      <c r="B3" t="s">
        <v>12</v>
      </c>
      <c r="C3" t="s">
        <v>13</v>
      </c>
      <c r="E3" t="s">
        <v>17</v>
      </c>
      <c r="I3" t="s">
        <v>24</v>
      </c>
      <c r="J3" t="s">
        <v>25</v>
      </c>
      <c r="K3" t="s">
        <v>26</v>
      </c>
      <c r="U3" s="1">
        <v>0.34935163996948893</v>
      </c>
    </row>
    <row r="4" spans="1:21" x14ac:dyDescent="0.25">
      <c r="A4" t="s">
        <v>2</v>
      </c>
      <c r="B4">
        <v>1.7689999999999999</v>
      </c>
      <c r="C4">
        <v>1.3109999999999999</v>
      </c>
      <c r="D4">
        <f>B4-C4</f>
        <v>0.45799999999999996</v>
      </c>
      <c r="E4" s="1">
        <f>D4/C4</f>
        <v>0.34935163996948893</v>
      </c>
      <c r="I4" t="s">
        <v>2</v>
      </c>
      <c r="J4" s="1">
        <v>0.34935163996948893</v>
      </c>
      <c r="K4" s="1">
        <v>0.35697940503432496</v>
      </c>
      <c r="U4" s="1">
        <v>0.34940652818991086</v>
      </c>
    </row>
    <row r="5" spans="1:21" x14ac:dyDescent="0.25">
      <c r="A5" t="s">
        <v>3</v>
      </c>
      <c r="B5">
        <v>1.819</v>
      </c>
      <c r="C5">
        <v>1.3480000000000001</v>
      </c>
      <c r="D5">
        <f t="shared" ref="D5:D67" si="0">B5-C5</f>
        <v>0.47099999999999986</v>
      </c>
      <c r="E5" s="1">
        <f t="shared" ref="E5:E13" si="1">D5/C5</f>
        <v>0.34940652818991086</v>
      </c>
      <c r="I5" t="s">
        <v>3</v>
      </c>
      <c r="J5" s="1">
        <v>0.34940652818991086</v>
      </c>
      <c r="K5" s="1">
        <v>0.30192878338278917</v>
      </c>
      <c r="U5" s="1">
        <v>0.34204630321135171</v>
      </c>
    </row>
    <row r="6" spans="1:21" x14ac:dyDescent="0.25">
      <c r="A6" t="s">
        <v>4</v>
      </c>
      <c r="B6">
        <v>1.7969999999999999</v>
      </c>
      <c r="C6">
        <v>1.339</v>
      </c>
      <c r="D6">
        <f t="shared" si="0"/>
        <v>0.45799999999999996</v>
      </c>
      <c r="E6" s="1">
        <f t="shared" si="1"/>
        <v>0.34204630321135171</v>
      </c>
      <c r="I6" t="s">
        <v>4</v>
      </c>
      <c r="J6" s="1">
        <v>0.34204630321135171</v>
      </c>
      <c r="K6" s="1">
        <v>0.29200896191187453</v>
      </c>
      <c r="U6" s="1">
        <v>0.29795021961932633</v>
      </c>
    </row>
    <row r="7" spans="1:21" x14ac:dyDescent="0.25">
      <c r="A7" t="s">
        <v>5</v>
      </c>
      <c r="B7">
        <v>1.7729999999999999</v>
      </c>
      <c r="C7">
        <v>1.3660000000000001</v>
      </c>
      <c r="D7">
        <f t="shared" si="0"/>
        <v>0.40699999999999981</v>
      </c>
      <c r="E7" s="1">
        <f t="shared" si="1"/>
        <v>0.29795021961932633</v>
      </c>
      <c r="I7" t="s">
        <v>5</v>
      </c>
      <c r="J7" s="1">
        <v>0.29795021961932633</v>
      </c>
      <c r="K7" s="1">
        <v>0.28550512445095161</v>
      </c>
      <c r="U7" s="1">
        <v>0.31781818181818183</v>
      </c>
    </row>
    <row r="8" spans="1:21" x14ac:dyDescent="0.25">
      <c r="A8" t="s">
        <v>6</v>
      </c>
      <c r="B8">
        <v>1.8120000000000001</v>
      </c>
      <c r="C8">
        <v>1.375</v>
      </c>
      <c r="D8">
        <f t="shared" si="0"/>
        <v>0.43700000000000006</v>
      </c>
      <c r="E8" s="1">
        <f t="shared" si="1"/>
        <v>0.31781818181818183</v>
      </c>
      <c r="I8" t="s">
        <v>6</v>
      </c>
      <c r="J8" s="1">
        <v>0.31781818181818183</v>
      </c>
      <c r="K8" s="1">
        <v>0.3032727272727273</v>
      </c>
      <c r="U8" s="1">
        <v>0.31195335276967923</v>
      </c>
    </row>
    <row r="9" spans="1:21" x14ac:dyDescent="0.25">
      <c r="A9" t="s">
        <v>7</v>
      </c>
      <c r="B9">
        <v>1.8</v>
      </c>
      <c r="C9">
        <v>1.3720000000000001</v>
      </c>
      <c r="D9">
        <f t="shared" si="0"/>
        <v>0.42799999999999994</v>
      </c>
      <c r="E9" s="1">
        <f t="shared" si="1"/>
        <v>0.31195335276967923</v>
      </c>
      <c r="I9" t="s">
        <v>7</v>
      </c>
      <c r="J9" s="1">
        <v>0.31195335276967923</v>
      </c>
      <c r="K9" s="1">
        <v>0.29883381924198243</v>
      </c>
      <c r="U9" s="1">
        <v>0.32241630276564759</v>
      </c>
    </row>
    <row r="10" spans="1:21" x14ac:dyDescent="0.25">
      <c r="A10" t="s">
        <v>8</v>
      </c>
      <c r="B10">
        <v>1.8169999999999999</v>
      </c>
      <c r="C10">
        <v>1.3740000000000001</v>
      </c>
      <c r="D10">
        <f t="shared" si="0"/>
        <v>0.44299999999999984</v>
      </c>
      <c r="E10" s="1">
        <f t="shared" si="1"/>
        <v>0.32241630276564759</v>
      </c>
      <c r="I10" t="s">
        <v>8</v>
      </c>
      <c r="J10" s="1">
        <v>0.32241630276564759</v>
      </c>
      <c r="K10" s="1">
        <v>0.2940320232896651</v>
      </c>
      <c r="U10" s="1">
        <v>0.27209464161447461</v>
      </c>
    </row>
    <row r="11" spans="1:21" x14ac:dyDescent="0.25">
      <c r="A11" t="s">
        <v>9</v>
      </c>
      <c r="B11">
        <v>1.8280000000000001</v>
      </c>
      <c r="C11">
        <v>1.4370000000000001</v>
      </c>
      <c r="D11">
        <f t="shared" si="0"/>
        <v>0.39100000000000001</v>
      </c>
      <c r="E11" s="1">
        <f t="shared" si="1"/>
        <v>0.27209464161447461</v>
      </c>
      <c r="I11" t="s">
        <v>9</v>
      </c>
      <c r="J11" s="1">
        <v>0.27209464161447461</v>
      </c>
      <c r="K11" s="1">
        <v>0.24843423799582462</v>
      </c>
      <c r="U11" s="1">
        <v>0.2097402597402597</v>
      </c>
    </row>
    <row r="12" spans="1:21" x14ac:dyDescent="0.25">
      <c r="A12" t="s">
        <v>10</v>
      </c>
      <c r="B12">
        <v>1.863</v>
      </c>
      <c r="C12">
        <v>1.54</v>
      </c>
      <c r="D12">
        <f t="shared" si="0"/>
        <v>0.32299999999999995</v>
      </c>
      <c r="E12" s="1">
        <f t="shared" si="1"/>
        <v>0.2097402597402597</v>
      </c>
      <c r="I12" t="s">
        <v>10</v>
      </c>
      <c r="J12" s="1">
        <v>0.2097402597402597</v>
      </c>
      <c r="K12" s="1">
        <v>0.2084415584415584</v>
      </c>
      <c r="U12" s="1">
        <v>0.41627437794216499</v>
      </c>
    </row>
    <row r="13" spans="1:21" x14ac:dyDescent="0.25">
      <c r="A13" t="s">
        <v>11</v>
      </c>
      <c r="B13">
        <v>4.2119999999999997</v>
      </c>
      <c r="C13">
        <v>2.9740000000000002</v>
      </c>
      <c r="D13">
        <f t="shared" si="0"/>
        <v>1.2379999999999995</v>
      </c>
      <c r="E13" s="1">
        <f t="shared" si="1"/>
        <v>0.41627437794216526</v>
      </c>
      <c r="I13" t="s">
        <v>11</v>
      </c>
      <c r="J13" s="1">
        <v>0.41627437794216499</v>
      </c>
      <c r="K13" s="1">
        <v>0.38601210490921306</v>
      </c>
      <c r="U13" s="1">
        <v>0.35697940503432496</v>
      </c>
    </row>
    <row r="14" spans="1:21" x14ac:dyDescent="0.25">
      <c r="U14" s="1">
        <v>0.30192878338278917</v>
      </c>
    </row>
    <row r="15" spans="1:21" x14ac:dyDescent="0.25">
      <c r="U15" s="1">
        <v>0.29200896191187453</v>
      </c>
    </row>
    <row r="16" spans="1:21" x14ac:dyDescent="0.25">
      <c r="A16" t="s">
        <v>1</v>
      </c>
      <c r="B16" t="s">
        <v>14</v>
      </c>
      <c r="C16" t="s">
        <v>13</v>
      </c>
      <c r="I16" t="s">
        <v>28</v>
      </c>
      <c r="J16" s="2">
        <f>AVERAGE(J4:J13)</f>
        <v>0.31890518076404856</v>
      </c>
      <c r="K16" s="2">
        <f>AVERAGE(K4:K13)</f>
        <v>0.29754487459309109</v>
      </c>
      <c r="U16" s="1">
        <v>0.28550512445095161</v>
      </c>
    </row>
    <row r="17" spans="1:26" x14ac:dyDescent="0.25">
      <c r="A17" t="s">
        <v>2</v>
      </c>
      <c r="B17">
        <v>1.7789999999999999</v>
      </c>
      <c r="C17">
        <v>1.3109999999999999</v>
      </c>
      <c r="D17">
        <f t="shared" si="0"/>
        <v>0.46799999999999997</v>
      </c>
      <c r="E17" s="1">
        <f>D17/C17</f>
        <v>0.35697940503432496</v>
      </c>
      <c r="U17" s="1">
        <v>0.3032727272727273</v>
      </c>
    </row>
    <row r="18" spans="1:26" x14ac:dyDescent="0.25">
      <c r="A18" t="s">
        <v>3</v>
      </c>
      <c r="B18">
        <v>1.7549999999999999</v>
      </c>
      <c r="C18">
        <v>1.3480000000000001</v>
      </c>
      <c r="D18">
        <f t="shared" si="0"/>
        <v>0.40699999999999981</v>
      </c>
      <c r="E18" s="1">
        <f t="shared" ref="E18:E80" si="2">D18/C18</f>
        <v>0.30192878338278917</v>
      </c>
      <c r="N18" t="s">
        <v>29</v>
      </c>
      <c r="O18" s="2">
        <f>MIN(U3:U22)</f>
        <v>0.2084415584415584</v>
      </c>
      <c r="U18" s="1">
        <v>0.29883381924198243</v>
      </c>
    </row>
    <row r="19" spans="1:26" x14ac:dyDescent="0.25">
      <c r="A19" t="s">
        <v>4</v>
      </c>
      <c r="B19">
        <v>1.73</v>
      </c>
      <c r="C19">
        <v>1.339</v>
      </c>
      <c r="D19">
        <f t="shared" si="0"/>
        <v>0.39100000000000001</v>
      </c>
      <c r="E19" s="1">
        <f t="shared" si="2"/>
        <v>0.29200896191187453</v>
      </c>
      <c r="N19" t="s">
        <v>30</v>
      </c>
      <c r="O19" s="2">
        <f>MAX(U3:U22)</f>
        <v>0.41627437794216499</v>
      </c>
      <c r="U19" s="1">
        <v>0.2940320232896651</v>
      </c>
    </row>
    <row r="20" spans="1:26" x14ac:dyDescent="0.25">
      <c r="A20" t="s">
        <v>5</v>
      </c>
      <c r="B20">
        <v>1.756</v>
      </c>
      <c r="C20">
        <v>1.3660000000000001</v>
      </c>
      <c r="D20">
        <f t="shared" si="0"/>
        <v>0.3899999999999999</v>
      </c>
      <c r="E20" s="1">
        <f t="shared" si="2"/>
        <v>0.28550512445095161</v>
      </c>
      <c r="N20" t="s">
        <v>31</v>
      </c>
      <c r="O20" s="2">
        <f>AVERAGE(U3:U22)</f>
        <v>0.3082250276785698</v>
      </c>
      <c r="U20" s="1">
        <v>0.24843423799582462</v>
      </c>
    </row>
    <row r="21" spans="1:26" x14ac:dyDescent="0.25">
      <c r="A21" t="s">
        <v>6</v>
      </c>
      <c r="B21">
        <v>1.792</v>
      </c>
      <c r="C21">
        <v>1.375</v>
      </c>
      <c r="D21">
        <f t="shared" si="0"/>
        <v>0.41700000000000004</v>
      </c>
      <c r="E21" s="1">
        <f t="shared" si="2"/>
        <v>0.3032727272727273</v>
      </c>
      <c r="U21" s="1">
        <v>0.2084415584415584</v>
      </c>
    </row>
    <row r="22" spans="1:26" x14ac:dyDescent="0.25">
      <c r="A22" t="s">
        <v>7</v>
      </c>
      <c r="B22">
        <v>1.782</v>
      </c>
      <c r="C22">
        <v>1.3720000000000001</v>
      </c>
      <c r="D22">
        <f t="shared" si="0"/>
        <v>0.40999999999999992</v>
      </c>
      <c r="E22" s="1">
        <f t="shared" si="2"/>
        <v>0.29883381924198243</v>
      </c>
      <c r="U22" s="1">
        <v>0.38601210490921306</v>
      </c>
    </row>
    <row r="23" spans="1:26" x14ac:dyDescent="0.25">
      <c r="A23" t="s">
        <v>8</v>
      </c>
      <c r="B23">
        <v>1.778</v>
      </c>
      <c r="C23">
        <v>1.3740000000000001</v>
      </c>
      <c r="D23">
        <f t="shared" si="0"/>
        <v>0.40399999999999991</v>
      </c>
      <c r="E23" s="1">
        <f t="shared" si="2"/>
        <v>0.2940320232896651</v>
      </c>
    </row>
    <row r="24" spans="1:26" x14ac:dyDescent="0.25">
      <c r="A24" t="s">
        <v>9</v>
      </c>
      <c r="B24">
        <v>1.794</v>
      </c>
      <c r="C24">
        <v>1.4370000000000001</v>
      </c>
      <c r="D24">
        <f t="shared" si="0"/>
        <v>0.35699999999999998</v>
      </c>
      <c r="E24" s="1">
        <f t="shared" si="2"/>
        <v>0.24843423799582462</v>
      </c>
    </row>
    <row r="25" spans="1:26" x14ac:dyDescent="0.25">
      <c r="A25" t="s">
        <v>10</v>
      </c>
      <c r="B25">
        <v>1.861</v>
      </c>
      <c r="C25">
        <v>1.54</v>
      </c>
      <c r="D25">
        <f t="shared" si="0"/>
        <v>0.32099999999999995</v>
      </c>
      <c r="E25" s="1">
        <f t="shared" si="2"/>
        <v>0.2084415584415584</v>
      </c>
    </row>
    <row r="26" spans="1:26" x14ac:dyDescent="0.25">
      <c r="A26" t="s">
        <v>11</v>
      </c>
      <c r="B26">
        <v>4.1219999999999999</v>
      </c>
      <c r="C26">
        <v>2.9740000000000002</v>
      </c>
      <c r="D26">
        <f t="shared" si="0"/>
        <v>1.1479999999999997</v>
      </c>
      <c r="E26" s="1">
        <f t="shared" si="2"/>
        <v>0.38601210490921306</v>
      </c>
    </row>
    <row r="27" spans="1:26" x14ac:dyDescent="0.25">
      <c r="E27" s="1"/>
    </row>
    <row r="28" spans="1:26" x14ac:dyDescent="0.25">
      <c r="E28" s="1"/>
    </row>
    <row r="29" spans="1:26" x14ac:dyDescent="0.25">
      <c r="A29" s="3" t="s">
        <v>15</v>
      </c>
      <c r="B29" s="3"/>
      <c r="E29" s="1"/>
    </row>
    <row r="30" spans="1:26" x14ac:dyDescent="0.25">
      <c r="E30" s="1"/>
      <c r="Y30" t="s">
        <v>35</v>
      </c>
      <c r="Z30" s="4">
        <f>AVERAGE(U31:U50,U3:U22,U58:U77,U85:U104,T112:T131,T139:T158,T166:T185,T193:T212)</f>
        <v>1.0559042524961808</v>
      </c>
    </row>
    <row r="31" spans="1:26" x14ac:dyDescent="0.25">
      <c r="A31" t="s">
        <v>1</v>
      </c>
      <c r="B31" t="s">
        <v>12</v>
      </c>
      <c r="C31" t="s">
        <v>13</v>
      </c>
      <c r="E31" s="1"/>
      <c r="I31" t="s">
        <v>1</v>
      </c>
      <c r="J31" t="s">
        <v>25</v>
      </c>
      <c r="K31" t="s">
        <v>27</v>
      </c>
      <c r="U31" s="1">
        <v>1.1718104495747264</v>
      </c>
    </row>
    <row r="32" spans="1:26" x14ac:dyDescent="0.25">
      <c r="A32" t="s">
        <v>2</v>
      </c>
      <c r="B32">
        <v>8.9369999999999994</v>
      </c>
      <c r="C32">
        <v>4.1150000000000002</v>
      </c>
      <c r="D32">
        <f t="shared" si="0"/>
        <v>4.8219999999999992</v>
      </c>
      <c r="E32" s="1">
        <f t="shared" si="2"/>
        <v>1.1718104495747264</v>
      </c>
      <c r="I32" t="s">
        <v>2</v>
      </c>
      <c r="J32" s="1">
        <v>1.1718104495747264</v>
      </c>
      <c r="K32" s="1">
        <v>1.3786148238153098</v>
      </c>
      <c r="U32" s="1">
        <v>1.2303627191928896</v>
      </c>
    </row>
    <row r="33" spans="1:21" x14ac:dyDescent="0.25">
      <c r="A33" t="s">
        <v>3</v>
      </c>
      <c r="B33">
        <v>9.2850000000000001</v>
      </c>
      <c r="C33">
        <v>4.1630000000000003</v>
      </c>
      <c r="D33">
        <f t="shared" si="0"/>
        <v>5.1219999999999999</v>
      </c>
      <c r="E33" s="1">
        <f t="shared" si="2"/>
        <v>1.2303627191928896</v>
      </c>
      <c r="I33" t="s">
        <v>3</v>
      </c>
      <c r="J33" s="1">
        <v>1.2303627191928896</v>
      </c>
      <c r="K33" s="1">
        <v>1.2020177756425652</v>
      </c>
      <c r="U33" s="1">
        <v>1.464154892726321</v>
      </c>
    </row>
    <row r="34" spans="1:21" x14ac:dyDescent="0.25">
      <c r="A34" t="s">
        <v>4</v>
      </c>
      <c r="B34">
        <v>9.4179999999999993</v>
      </c>
      <c r="C34">
        <v>3.8220000000000001</v>
      </c>
      <c r="D34">
        <f t="shared" si="0"/>
        <v>5.5959999999999992</v>
      </c>
      <c r="E34" s="1">
        <f t="shared" si="2"/>
        <v>1.464154892726321</v>
      </c>
      <c r="I34" t="s">
        <v>4</v>
      </c>
      <c r="J34" s="1">
        <v>1.464154892726321</v>
      </c>
      <c r="K34" s="1">
        <v>1.3780743066457353</v>
      </c>
      <c r="U34" s="1">
        <v>0.90917559385188662</v>
      </c>
    </row>
    <row r="35" spans="1:21" x14ac:dyDescent="0.25">
      <c r="A35" t="s">
        <v>5</v>
      </c>
      <c r="B35">
        <v>8.1980000000000004</v>
      </c>
      <c r="C35">
        <v>4.2939999999999996</v>
      </c>
      <c r="D35">
        <f t="shared" si="0"/>
        <v>3.9040000000000008</v>
      </c>
      <c r="E35" s="1">
        <f t="shared" si="2"/>
        <v>0.90917559385188662</v>
      </c>
      <c r="I35" t="s">
        <v>5</v>
      </c>
      <c r="J35" s="1">
        <v>0.90917559385188662</v>
      </c>
      <c r="K35" s="1">
        <v>1.1397298556124829</v>
      </c>
      <c r="U35" s="1">
        <v>1.0632586367880488</v>
      </c>
    </row>
    <row r="36" spans="1:21" x14ac:dyDescent="0.25">
      <c r="A36" t="s">
        <v>6</v>
      </c>
      <c r="B36">
        <v>8.8390000000000004</v>
      </c>
      <c r="C36">
        <v>4.2839999999999998</v>
      </c>
      <c r="D36">
        <f t="shared" si="0"/>
        <v>4.5550000000000006</v>
      </c>
      <c r="E36" s="1">
        <f t="shared" si="2"/>
        <v>1.0632586367880488</v>
      </c>
      <c r="I36" t="s">
        <v>6</v>
      </c>
      <c r="J36" s="1">
        <v>1.0632586367880488</v>
      </c>
      <c r="K36" s="1">
        <v>1.2189542483660132</v>
      </c>
      <c r="U36" s="1">
        <v>1.1560214529497803</v>
      </c>
    </row>
    <row r="37" spans="1:21" x14ac:dyDescent="0.25">
      <c r="A37" t="s">
        <v>7</v>
      </c>
      <c r="B37">
        <v>8.8439999999999994</v>
      </c>
      <c r="C37">
        <v>4.1020000000000003</v>
      </c>
      <c r="D37">
        <f t="shared" si="0"/>
        <v>4.7419999999999991</v>
      </c>
      <c r="E37" s="1">
        <f t="shared" si="2"/>
        <v>1.1560214529497803</v>
      </c>
      <c r="I37" t="s">
        <v>7</v>
      </c>
      <c r="J37" s="1">
        <v>1.1560214529497803</v>
      </c>
      <c r="K37" s="1">
        <v>1.2564602632862016</v>
      </c>
      <c r="U37" s="1">
        <v>1.2289613343442003</v>
      </c>
    </row>
    <row r="38" spans="1:21" x14ac:dyDescent="0.25">
      <c r="A38" t="s">
        <v>8</v>
      </c>
      <c r="B38">
        <v>8.82</v>
      </c>
      <c r="C38">
        <v>3.9569999999999999</v>
      </c>
      <c r="D38">
        <f t="shared" si="0"/>
        <v>4.8630000000000004</v>
      </c>
      <c r="E38" s="1">
        <f t="shared" si="2"/>
        <v>1.2289613343442003</v>
      </c>
      <c r="I38" t="s">
        <v>8</v>
      </c>
      <c r="J38" s="1">
        <v>1.2289613343442003</v>
      </c>
      <c r="K38" s="1">
        <v>1.3378822340156684</v>
      </c>
      <c r="U38" s="1">
        <v>1.2083009079118028</v>
      </c>
    </row>
    <row r="39" spans="1:21" x14ac:dyDescent="0.25">
      <c r="A39" t="s">
        <v>9</v>
      </c>
      <c r="B39">
        <v>8.5129999999999999</v>
      </c>
      <c r="C39">
        <v>3.855</v>
      </c>
      <c r="D39">
        <f t="shared" si="0"/>
        <v>4.6579999999999995</v>
      </c>
      <c r="E39" s="1">
        <f t="shared" si="2"/>
        <v>1.2083009079118028</v>
      </c>
      <c r="I39" t="s">
        <v>9</v>
      </c>
      <c r="J39" s="1">
        <v>1.2083009079118028</v>
      </c>
      <c r="K39" s="1">
        <v>1.4311284046692605</v>
      </c>
      <c r="U39" s="1">
        <v>0.94767726161369203</v>
      </c>
    </row>
    <row r="40" spans="1:21" x14ac:dyDescent="0.25">
      <c r="A40" t="s">
        <v>10</v>
      </c>
      <c r="B40">
        <v>7.9660000000000002</v>
      </c>
      <c r="C40">
        <v>4.09</v>
      </c>
      <c r="D40">
        <f t="shared" si="0"/>
        <v>3.8760000000000003</v>
      </c>
      <c r="E40" s="1">
        <f t="shared" si="2"/>
        <v>0.94767726161369203</v>
      </c>
      <c r="I40" t="s">
        <v>10</v>
      </c>
      <c r="J40" s="1">
        <v>0.94767726161369203</v>
      </c>
      <c r="K40" s="1">
        <v>1.0740831295843523</v>
      </c>
      <c r="U40" s="1">
        <v>0.85215982721382288</v>
      </c>
    </row>
    <row r="41" spans="1:21" x14ac:dyDescent="0.25">
      <c r="A41" t="s">
        <v>11</v>
      </c>
      <c r="B41">
        <v>17.151</v>
      </c>
      <c r="C41">
        <v>9.26</v>
      </c>
      <c r="D41">
        <f t="shared" si="0"/>
        <v>7.891</v>
      </c>
      <c r="E41" s="1">
        <f t="shared" si="2"/>
        <v>0.85215982721382288</v>
      </c>
      <c r="I41" t="s">
        <v>11</v>
      </c>
      <c r="J41" s="1">
        <v>0.85215982721382288</v>
      </c>
      <c r="K41" s="1">
        <v>0.85885529157667406</v>
      </c>
      <c r="U41" s="1">
        <v>1.3786148238153098</v>
      </c>
    </row>
    <row r="42" spans="1:21" x14ac:dyDescent="0.25">
      <c r="E42" s="1"/>
      <c r="U42" s="1">
        <v>1.2020177756425652</v>
      </c>
    </row>
    <row r="43" spans="1:21" x14ac:dyDescent="0.25">
      <c r="E43" s="1"/>
      <c r="U43" s="1">
        <v>1.3780743066457353</v>
      </c>
    </row>
    <row r="44" spans="1:21" x14ac:dyDescent="0.25">
      <c r="A44" t="s">
        <v>1</v>
      </c>
      <c r="B44" t="s">
        <v>14</v>
      </c>
      <c r="C44" t="s">
        <v>13</v>
      </c>
      <c r="E44" s="1"/>
      <c r="U44" s="1">
        <v>1.1397298556124829</v>
      </c>
    </row>
    <row r="45" spans="1:21" x14ac:dyDescent="0.25">
      <c r="A45" t="s">
        <v>2</v>
      </c>
      <c r="B45">
        <v>9.7880000000000003</v>
      </c>
      <c r="C45">
        <v>4.1150000000000002</v>
      </c>
      <c r="D45">
        <f t="shared" si="0"/>
        <v>5.673</v>
      </c>
      <c r="E45" s="1">
        <f t="shared" si="2"/>
        <v>1.3786148238153098</v>
      </c>
      <c r="U45" s="1">
        <v>1.2189542483660132</v>
      </c>
    </row>
    <row r="46" spans="1:21" x14ac:dyDescent="0.25">
      <c r="A46" t="s">
        <v>3</v>
      </c>
      <c r="B46">
        <v>9.1669999999999998</v>
      </c>
      <c r="C46">
        <v>4.1630000000000003</v>
      </c>
      <c r="D46">
        <f t="shared" si="0"/>
        <v>5.0039999999999996</v>
      </c>
      <c r="E46" s="1">
        <f t="shared" si="2"/>
        <v>1.2020177756425652</v>
      </c>
      <c r="N46" t="s">
        <v>32</v>
      </c>
      <c r="O46" s="2">
        <f>MIN(U31:U50)</f>
        <v>0.85215982721382288</v>
      </c>
      <c r="U46" s="1">
        <v>1.2564602632862016</v>
      </c>
    </row>
    <row r="47" spans="1:21" x14ac:dyDescent="0.25">
      <c r="A47" t="s">
        <v>4</v>
      </c>
      <c r="B47">
        <v>9.0890000000000004</v>
      </c>
      <c r="C47">
        <v>3.8220000000000001</v>
      </c>
      <c r="D47">
        <f t="shared" si="0"/>
        <v>5.2670000000000003</v>
      </c>
      <c r="E47" s="1">
        <f t="shared" si="2"/>
        <v>1.3780743066457353</v>
      </c>
      <c r="N47" t="s">
        <v>33</v>
      </c>
      <c r="O47" s="2">
        <f>MAX(U31:U50)</f>
        <v>1.464154892726321</v>
      </c>
      <c r="U47" s="1">
        <v>1.3378822340156684</v>
      </c>
    </row>
    <row r="48" spans="1:21" x14ac:dyDescent="0.25">
      <c r="A48" t="s">
        <v>5</v>
      </c>
      <c r="B48">
        <v>9.1880000000000006</v>
      </c>
      <c r="C48">
        <v>4.2939999999999996</v>
      </c>
      <c r="D48">
        <f t="shared" si="0"/>
        <v>4.894000000000001</v>
      </c>
      <c r="E48" s="1">
        <f t="shared" si="2"/>
        <v>1.1397298556124829</v>
      </c>
      <c r="N48" t="s">
        <v>34</v>
      </c>
      <c r="O48" s="2">
        <f>AVERAGE(U31:U50)</f>
        <v>1.1753841704690715</v>
      </c>
      <c r="U48" s="1">
        <v>1.4311284046692605</v>
      </c>
    </row>
    <row r="49" spans="1:21" x14ac:dyDescent="0.25">
      <c r="A49" t="s">
        <v>6</v>
      </c>
      <c r="B49">
        <v>9.5060000000000002</v>
      </c>
      <c r="C49">
        <v>4.2839999999999998</v>
      </c>
      <c r="D49">
        <f t="shared" si="0"/>
        <v>5.2220000000000004</v>
      </c>
      <c r="E49" s="1">
        <f t="shared" si="2"/>
        <v>1.2189542483660132</v>
      </c>
      <c r="U49" s="1">
        <v>1.0740831295843523</v>
      </c>
    </row>
    <row r="50" spans="1:21" x14ac:dyDescent="0.25">
      <c r="A50" t="s">
        <v>7</v>
      </c>
      <c r="B50">
        <v>9.2560000000000002</v>
      </c>
      <c r="C50">
        <v>4.1020000000000003</v>
      </c>
      <c r="D50">
        <f t="shared" si="0"/>
        <v>5.1539999999999999</v>
      </c>
      <c r="E50" s="1">
        <f t="shared" si="2"/>
        <v>1.2564602632862016</v>
      </c>
      <c r="U50" s="1">
        <v>0.85885529157667406</v>
      </c>
    </row>
    <row r="51" spans="1:21" x14ac:dyDescent="0.25">
      <c r="A51" t="s">
        <v>8</v>
      </c>
      <c r="B51">
        <v>9.2509999999999994</v>
      </c>
      <c r="C51">
        <v>3.9569999999999999</v>
      </c>
      <c r="D51">
        <f t="shared" si="0"/>
        <v>5.2939999999999996</v>
      </c>
      <c r="E51" s="1">
        <f t="shared" si="2"/>
        <v>1.3378822340156684</v>
      </c>
    </row>
    <row r="52" spans="1:21" x14ac:dyDescent="0.25">
      <c r="A52" t="s">
        <v>9</v>
      </c>
      <c r="B52">
        <v>9.3719999999999999</v>
      </c>
      <c r="C52">
        <v>3.855</v>
      </c>
      <c r="D52">
        <f t="shared" si="0"/>
        <v>5.5169999999999995</v>
      </c>
      <c r="E52" s="1">
        <f t="shared" si="2"/>
        <v>1.4311284046692605</v>
      </c>
    </row>
    <row r="53" spans="1:21" x14ac:dyDescent="0.25">
      <c r="A53" t="s">
        <v>10</v>
      </c>
      <c r="B53">
        <v>8.4830000000000005</v>
      </c>
      <c r="C53">
        <v>4.09</v>
      </c>
      <c r="D53">
        <f t="shared" si="0"/>
        <v>4.3930000000000007</v>
      </c>
      <c r="E53" s="1">
        <f t="shared" si="2"/>
        <v>1.0740831295843523</v>
      </c>
    </row>
    <row r="54" spans="1:21" x14ac:dyDescent="0.25">
      <c r="A54" t="s">
        <v>11</v>
      </c>
      <c r="B54">
        <v>17.213000000000001</v>
      </c>
      <c r="C54">
        <v>9.26</v>
      </c>
      <c r="D54">
        <f t="shared" si="0"/>
        <v>7.9530000000000012</v>
      </c>
      <c r="E54" s="1">
        <f t="shared" si="2"/>
        <v>0.85885529157667406</v>
      </c>
    </row>
    <row r="55" spans="1:21" x14ac:dyDescent="0.25">
      <c r="E55" s="1"/>
    </row>
    <row r="56" spans="1:21" x14ac:dyDescent="0.25">
      <c r="E56" s="1"/>
    </row>
    <row r="57" spans="1:21" x14ac:dyDescent="0.25">
      <c r="A57" s="3" t="s">
        <v>16</v>
      </c>
      <c r="B57" s="3"/>
      <c r="E57" s="1"/>
    </row>
    <row r="58" spans="1:21" x14ac:dyDescent="0.25">
      <c r="A58" t="s">
        <v>1</v>
      </c>
      <c r="B58" t="s">
        <v>12</v>
      </c>
      <c r="C58" t="s">
        <v>13</v>
      </c>
      <c r="E58" s="1"/>
      <c r="I58" t="s">
        <v>24</v>
      </c>
      <c r="J58" t="s">
        <v>25</v>
      </c>
      <c r="K58" t="s">
        <v>27</v>
      </c>
      <c r="U58" s="1">
        <v>1.4928725701943846</v>
      </c>
    </row>
    <row r="59" spans="1:21" x14ac:dyDescent="0.25">
      <c r="A59" t="s">
        <v>2</v>
      </c>
      <c r="B59">
        <v>5.7709999999999999</v>
      </c>
      <c r="C59">
        <v>2.3149999999999999</v>
      </c>
      <c r="D59">
        <f t="shared" si="0"/>
        <v>3.456</v>
      </c>
      <c r="E59" s="1">
        <f t="shared" si="2"/>
        <v>1.4928725701943846</v>
      </c>
      <c r="I59" t="s">
        <v>2</v>
      </c>
      <c r="J59" s="1">
        <v>1.4928725701943846</v>
      </c>
      <c r="K59" s="1">
        <v>1.5265658747300217</v>
      </c>
      <c r="U59" s="1">
        <v>1.5201048951048952</v>
      </c>
    </row>
    <row r="60" spans="1:21" x14ac:dyDescent="0.25">
      <c r="A60" t="s">
        <v>3</v>
      </c>
      <c r="B60">
        <v>5.766</v>
      </c>
      <c r="C60">
        <v>2.2879999999999998</v>
      </c>
      <c r="D60">
        <f t="shared" si="0"/>
        <v>3.4780000000000002</v>
      </c>
      <c r="E60" s="1">
        <f t="shared" si="2"/>
        <v>1.5201048951048952</v>
      </c>
      <c r="I60" t="s">
        <v>3</v>
      </c>
      <c r="J60" s="1">
        <v>1.5201048951048952</v>
      </c>
      <c r="K60" s="1">
        <v>1.5887237762237765</v>
      </c>
      <c r="U60" s="1">
        <v>1.4523501509271239</v>
      </c>
    </row>
    <row r="61" spans="1:21" x14ac:dyDescent="0.25">
      <c r="A61" t="s">
        <v>4</v>
      </c>
      <c r="B61">
        <v>5.6870000000000003</v>
      </c>
      <c r="C61">
        <v>2.319</v>
      </c>
      <c r="D61">
        <f t="shared" si="0"/>
        <v>3.3680000000000003</v>
      </c>
      <c r="E61" s="1">
        <f t="shared" si="2"/>
        <v>1.4523501509271239</v>
      </c>
      <c r="I61" t="s">
        <v>4</v>
      </c>
      <c r="J61" s="1">
        <v>1.4523501509271239</v>
      </c>
      <c r="K61" s="1">
        <v>1.6028460543337644</v>
      </c>
      <c r="U61" s="1">
        <v>1.4935008665511267</v>
      </c>
    </row>
    <row r="62" spans="1:21" x14ac:dyDescent="0.25">
      <c r="A62" t="s">
        <v>5</v>
      </c>
      <c r="B62">
        <v>5.7549999999999999</v>
      </c>
      <c r="C62">
        <v>2.3079999999999998</v>
      </c>
      <c r="D62">
        <f t="shared" si="0"/>
        <v>3.4470000000000001</v>
      </c>
      <c r="E62" s="1">
        <f t="shared" si="2"/>
        <v>1.4935008665511267</v>
      </c>
      <c r="I62" t="s">
        <v>5</v>
      </c>
      <c r="J62" s="1">
        <v>1.4935008665511267</v>
      </c>
      <c r="K62" s="1">
        <v>1.5368284228769502</v>
      </c>
      <c r="U62" s="1">
        <v>1.3916142557651994</v>
      </c>
    </row>
    <row r="63" spans="1:21" x14ac:dyDescent="0.25">
      <c r="A63" t="s">
        <v>6</v>
      </c>
      <c r="B63">
        <v>5.7039999999999997</v>
      </c>
      <c r="C63">
        <v>2.3849999999999998</v>
      </c>
      <c r="D63">
        <f t="shared" si="0"/>
        <v>3.319</v>
      </c>
      <c r="E63" s="1">
        <f t="shared" si="2"/>
        <v>1.3916142557651994</v>
      </c>
      <c r="I63" t="s">
        <v>6</v>
      </c>
      <c r="J63" s="1">
        <v>1.3916142557651994</v>
      </c>
      <c r="K63" s="1">
        <v>1.4679245283018871</v>
      </c>
      <c r="U63" s="1">
        <v>1.4579796264855691</v>
      </c>
    </row>
    <row r="64" spans="1:21" x14ac:dyDescent="0.25">
      <c r="A64" t="s">
        <v>7</v>
      </c>
      <c r="B64">
        <v>5.7910000000000004</v>
      </c>
      <c r="C64">
        <v>2.3559999999999999</v>
      </c>
      <c r="D64">
        <f t="shared" si="0"/>
        <v>3.4350000000000005</v>
      </c>
      <c r="E64" s="1">
        <f t="shared" si="2"/>
        <v>1.4579796264855691</v>
      </c>
      <c r="I64" t="s">
        <v>7</v>
      </c>
      <c r="J64" s="1">
        <v>1.4579796264855691</v>
      </c>
      <c r="K64" s="1">
        <v>1.5080645161290323</v>
      </c>
      <c r="U64" s="1">
        <v>1.4090528080469404</v>
      </c>
    </row>
    <row r="65" spans="1:21" x14ac:dyDescent="0.25">
      <c r="A65" t="s">
        <v>8</v>
      </c>
      <c r="B65">
        <v>5.7480000000000002</v>
      </c>
      <c r="C65">
        <v>2.3860000000000001</v>
      </c>
      <c r="D65">
        <f t="shared" si="0"/>
        <v>3.3620000000000001</v>
      </c>
      <c r="E65" s="1">
        <f t="shared" si="2"/>
        <v>1.4090528080469404</v>
      </c>
      <c r="I65" t="s">
        <v>8</v>
      </c>
      <c r="J65" s="1">
        <v>1.4090528080469404</v>
      </c>
      <c r="K65" s="1">
        <v>1.4660519698239731</v>
      </c>
      <c r="U65" s="1">
        <v>1.3976945244956773</v>
      </c>
    </row>
    <row r="66" spans="1:21" x14ac:dyDescent="0.25">
      <c r="A66" t="s">
        <v>9</v>
      </c>
      <c r="B66">
        <v>5.8239999999999998</v>
      </c>
      <c r="C66">
        <v>2.4289999999999998</v>
      </c>
      <c r="D66">
        <f t="shared" si="0"/>
        <v>3.395</v>
      </c>
      <c r="E66" s="1">
        <f t="shared" si="2"/>
        <v>1.3976945244956773</v>
      </c>
      <c r="I66" t="s">
        <v>9</v>
      </c>
      <c r="J66" s="1">
        <v>1.3976945244956773</v>
      </c>
      <c r="K66" s="1">
        <v>1.3927542198435574</v>
      </c>
      <c r="U66" s="1">
        <v>1.3092289252896525</v>
      </c>
    </row>
    <row r="67" spans="1:21" x14ac:dyDescent="0.25">
      <c r="A67" t="s">
        <v>10</v>
      </c>
      <c r="B67">
        <v>5.78</v>
      </c>
      <c r="C67">
        <v>2.5030000000000001</v>
      </c>
      <c r="D67">
        <f t="shared" si="0"/>
        <v>3.2770000000000001</v>
      </c>
      <c r="E67" s="1">
        <f t="shared" si="2"/>
        <v>1.3092289252896525</v>
      </c>
      <c r="I67" t="s">
        <v>10</v>
      </c>
      <c r="J67" s="1">
        <v>1.3092289252896525</v>
      </c>
      <c r="K67" s="1">
        <v>1.3403915301638032</v>
      </c>
      <c r="U67" s="1">
        <v>0.8682340076544558</v>
      </c>
    </row>
    <row r="68" spans="1:21" x14ac:dyDescent="0.25">
      <c r="A68" t="s">
        <v>11</v>
      </c>
      <c r="B68">
        <v>10.250999999999999</v>
      </c>
      <c r="C68">
        <v>5.4870000000000001</v>
      </c>
      <c r="D68">
        <f t="shared" ref="D68:D131" si="3">B68-C68</f>
        <v>4.7639999999999993</v>
      </c>
      <c r="E68" s="1">
        <f t="shared" si="2"/>
        <v>0.8682340076544558</v>
      </c>
      <c r="I68" t="s">
        <v>11</v>
      </c>
      <c r="J68" s="1">
        <v>0.8682340076544558</v>
      </c>
      <c r="K68" s="1">
        <v>0.8263167486786952</v>
      </c>
      <c r="U68" s="1">
        <v>1.5265658747300217</v>
      </c>
    </row>
    <row r="69" spans="1:21" x14ac:dyDescent="0.25">
      <c r="E69" s="1"/>
      <c r="U69" s="1">
        <v>1.5887237762237765</v>
      </c>
    </row>
    <row r="70" spans="1:21" x14ac:dyDescent="0.25">
      <c r="E70" s="1"/>
      <c r="U70" s="1">
        <v>1.6028460543337644</v>
      </c>
    </row>
    <row r="71" spans="1:21" x14ac:dyDescent="0.25">
      <c r="A71" t="s">
        <v>1</v>
      </c>
      <c r="B71" t="s">
        <v>14</v>
      </c>
      <c r="C71" t="s">
        <v>13</v>
      </c>
      <c r="E71" s="1"/>
      <c r="U71" s="1">
        <v>1.5368284228769502</v>
      </c>
    </row>
    <row r="72" spans="1:21" x14ac:dyDescent="0.25">
      <c r="A72" t="s">
        <v>2</v>
      </c>
      <c r="B72">
        <v>5.8490000000000002</v>
      </c>
      <c r="C72">
        <v>2.3149999999999999</v>
      </c>
      <c r="D72">
        <f t="shared" si="3"/>
        <v>3.5340000000000003</v>
      </c>
      <c r="E72" s="1">
        <f t="shared" si="2"/>
        <v>1.5265658747300217</v>
      </c>
      <c r="U72" s="1">
        <v>1.4679245283018871</v>
      </c>
    </row>
    <row r="73" spans="1:21" x14ac:dyDescent="0.25">
      <c r="A73" t="s">
        <v>3</v>
      </c>
      <c r="B73">
        <v>5.923</v>
      </c>
      <c r="C73">
        <v>2.2879999999999998</v>
      </c>
      <c r="D73">
        <f t="shared" si="3"/>
        <v>3.6350000000000002</v>
      </c>
      <c r="E73" s="1">
        <f t="shared" si="2"/>
        <v>1.5887237762237765</v>
      </c>
      <c r="U73" s="1">
        <v>1.5080645161290323</v>
      </c>
    </row>
    <row r="74" spans="1:21" x14ac:dyDescent="0.25">
      <c r="A74" t="s">
        <v>4</v>
      </c>
      <c r="B74">
        <v>6.0359999999999996</v>
      </c>
      <c r="C74">
        <v>2.319</v>
      </c>
      <c r="D74">
        <f t="shared" si="3"/>
        <v>3.7169999999999996</v>
      </c>
      <c r="E74" s="1">
        <f t="shared" si="2"/>
        <v>1.6028460543337644</v>
      </c>
      <c r="U74" s="1">
        <v>1.4660519698239731</v>
      </c>
    </row>
    <row r="75" spans="1:21" x14ac:dyDescent="0.25">
      <c r="A75" t="s">
        <v>5</v>
      </c>
      <c r="B75">
        <v>5.8550000000000004</v>
      </c>
      <c r="C75">
        <v>2.3079999999999998</v>
      </c>
      <c r="D75">
        <f t="shared" si="3"/>
        <v>3.5470000000000006</v>
      </c>
      <c r="E75" s="1">
        <f t="shared" si="2"/>
        <v>1.5368284228769502</v>
      </c>
      <c r="K75" t="s">
        <v>29</v>
      </c>
      <c r="L75" s="2">
        <f>MIN(U58:U77)</f>
        <v>0.8263167486786952</v>
      </c>
      <c r="U75" s="1">
        <v>1.3927542198435574</v>
      </c>
    </row>
    <row r="76" spans="1:21" x14ac:dyDescent="0.25">
      <c r="A76" t="s">
        <v>6</v>
      </c>
      <c r="B76">
        <v>5.8860000000000001</v>
      </c>
      <c r="C76">
        <v>2.3849999999999998</v>
      </c>
      <c r="D76">
        <f t="shared" si="3"/>
        <v>3.5010000000000003</v>
      </c>
      <c r="E76" s="1">
        <f t="shared" si="2"/>
        <v>1.4679245283018871</v>
      </c>
      <c r="K76" t="s">
        <v>30</v>
      </c>
      <c r="L76" s="2">
        <f>MAX(U58:U77)</f>
        <v>1.6028460543337644</v>
      </c>
      <c r="U76" s="1">
        <v>1.3403915301638032</v>
      </c>
    </row>
    <row r="77" spans="1:21" x14ac:dyDescent="0.25">
      <c r="A77" t="s">
        <v>7</v>
      </c>
      <c r="B77">
        <v>5.9089999999999998</v>
      </c>
      <c r="C77">
        <v>2.3559999999999999</v>
      </c>
      <c r="D77">
        <f t="shared" si="3"/>
        <v>3.5529999999999999</v>
      </c>
      <c r="E77" s="1">
        <f t="shared" si="2"/>
        <v>1.5080645161290323</v>
      </c>
      <c r="K77" t="s">
        <v>31</v>
      </c>
      <c r="L77" s="2">
        <f>AVERAGE(U58:U77)</f>
        <v>1.4024550135810241</v>
      </c>
      <c r="U77" s="1">
        <v>0.8263167486786952</v>
      </c>
    </row>
    <row r="78" spans="1:21" x14ac:dyDescent="0.25">
      <c r="A78" t="s">
        <v>8</v>
      </c>
      <c r="B78">
        <v>5.8840000000000003</v>
      </c>
      <c r="C78">
        <v>2.3860000000000001</v>
      </c>
      <c r="D78">
        <f t="shared" si="3"/>
        <v>3.4980000000000002</v>
      </c>
      <c r="E78" s="1">
        <f t="shared" si="2"/>
        <v>1.4660519698239731</v>
      </c>
    </row>
    <row r="79" spans="1:21" x14ac:dyDescent="0.25">
      <c r="A79" t="s">
        <v>9</v>
      </c>
      <c r="B79">
        <v>5.8120000000000003</v>
      </c>
      <c r="C79">
        <v>2.4289999999999998</v>
      </c>
      <c r="D79">
        <f t="shared" si="3"/>
        <v>3.3830000000000005</v>
      </c>
      <c r="E79" s="1">
        <f t="shared" si="2"/>
        <v>1.3927542198435574</v>
      </c>
    </row>
    <row r="80" spans="1:21" x14ac:dyDescent="0.25">
      <c r="A80" t="s">
        <v>10</v>
      </c>
      <c r="B80">
        <v>5.8579999999999997</v>
      </c>
      <c r="C80">
        <v>2.5030000000000001</v>
      </c>
      <c r="D80">
        <f t="shared" si="3"/>
        <v>3.3549999999999995</v>
      </c>
      <c r="E80" s="1">
        <f t="shared" si="2"/>
        <v>1.3403915301638032</v>
      </c>
    </row>
    <row r="81" spans="1:21" x14ac:dyDescent="0.25">
      <c r="A81" t="s">
        <v>11</v>
      </c>
      <c r="B81">
        <v>10.021000000000001</v>
      </c>
      <c r="C81">
        <v>5.4870000000000001</v>
      </c>
      <c r="D81">
        <f t="shared" si="3"/>
        <v>4.5340000000000007</v>
      </c>
      <c r="E81" s="1">
        <f t="shared" ref="E81:E144" si="4">D81/C81</f>
        <v>0.8263167486786952</v>
      </c>
    </row>
    <row r="82" spans="1:21" x14ac:dyDescent="0.25">
      <c r="E82" s="1"/>
    </row>
    <row r="83" spans="1:21" x14ac:dyDescent="0.25">
      <c r="E83" s="1"/>
    </row>
    <row r="84" spans="1:21" x14ac:dyDescent="0.25">
      <c r="A84" s="3" t="s">
        <v>18</v>
      </c>
      <c r="B84" s="3"/>
      <c r="E84" s="1"/>
    </row>
    <row r="85" spans="1:21" x14ac:dyDescent="0.25">
      <c r="A85" t="s">
        <v>1</v>
      </c>
      <c r="B85" t="s">
        <v>19</v>
      </c>
      <c r="C85" t="s">
        <v>13</v>
      </c>
      <c r="E85" s="1" t="s">
        <v>17</v>
      </c>
      <c r="I85" t="s">
        <v>24</v>
      </c>
      <c r="J85" t="s">
        <v>25</v>
      </c>
      <c r="K85" t="s">
        <v>27</v>
      </c>
      <c r="U85" s="1">
        <v>2.4523270181219115</v>
      </c>
    </row>
    <row r="86" spans="1:21" x14ac:dyDescent="0.25">
      <c r="A86" t="s">
        <v>2</v>
      </c>
      <c r="B86">
        <v>33.529000000000003</v>
      </c>
      <c r="C86">
        <v>9.7119999999999997</v>
      </c>
      <c r="D86">
        <f t="shared" si="3"/>
        <v>23.817000000000004</v>
      </c>
      <c r="E86" s="1">
        <f t="shared" si="4"/>
        <v>2.4523270181219115</v>
      </c>
      <c r="I86" t="s">
        <v>2</v>
      </c>
      <c r="J86" s="1">
        <v>2.4523270181219115</v>
      </c>
      <c r="K86" s="1">
        <v>2.445634266886326</v>
      </c>
      <c r="U86" s="1">
        <v>2.602226064404582</v>
      </c>
    </row>
    <row r="87" spans="1:21" x14ac:dyDescent="0.25">
      <c r="A87" t="s">
        <v>3</v>
      </c>
      <c r="B87">
        <v>33.335000000000001</v>
      </c>
      <c r="C87">
        <v>9.2539999999999996</v>
      </c>
      <c r="D87">
        <f t="shared" si="3"/>
        <v>24.081000000000003</v>
      </c>
      <c r="E87" s="1">
        <f t="shared" si="4"/>
        <v>2.602226064404582</v>
      </c>
      <c r="I87" t="s">
        <v>3</v>
      </c>
      <c r="J87" s="1">
        <v>2.602226064404582</v>
      </c>
      <c r="K87" s="1">
        <v>2.3644910309055547</v>
      </c>
      <c r="U87" s="1">
        <v>2.4547117039586923</v>
      </c>
    </row>
    <row r="88" spans="1:21" x14ac:dyDescent="0.25">
      <c r="A88" t="s">
        <v>4</v>
      </c>
      <c r="B88">
        <v>32.115000000000002</v>
      </c>
      <c r="C88">
        <v>9.2959999999999994</v>
      </c>
      <c r="D88">
        <f t="shared" si="3"/>
        <v>22.819000000000003</v>
      </c>
      <c r="E88" s="1">
        <f t="shared" si="4"/>
        <v>2.4547117039586923</v>
      </c>
      <c r="I88" t="s">
        <v>4</v>
      </c>
      <c r="J88" s="1">
        <v>2.4547117039586923</v>
      </c>
      <c r="K88" s="1">
        <v>2.5569061962134252</v>
      </c>
      <c r="U88" s="1">
        <v>2.5617928633594431</v>
      </c>
    </row>
    <row r="89" spans="1:21" x14ac:dyDescent="0.25">
      <c r="A89" t="s">
        <v>5</v>
      </c>
      <c r="B89">
        <v>32.74</v>
      </c>
      <c r="C89">
        <v>9.1920000000000002</v>
      </c>
      <c r="D89">
        <f t="shared" si="3"/>
        <v>23.548000000000002</v>
      </c>
      <c r="E89" s="1">
        <f t="shared" si="4"/>
        <v>2.5617928633594431</v>
      </c>
      <c r="I89" t="s">
        <v>5</v>
      </c>
      <c r="J89" s="1">
        <v>2.5617928633594431</v>
      </c>
      <c r="K89" s="1">
        <v>2.6548085291557872</v>
      </c>
      <c r="U89" s="1">
        <v>2.2430434336174141</v>
      </c>
    </row>
    <row r="90" spans="1:21" x14ac:dyDescent="0.25">
      <c r="A90" t="s">
        <v>6</v>
      </c>
      <c r="B90">
        <v>31.584</v>
      </c>
      <c r="C90">
        <v>9.7390000000000008</v>
      </c>
      <c r="D90">
        <f t="shared" si="3"/>
        <v>21.844999999999999</v>
      </c>
      <c r="E90" s="1">
        <f t="shared" si="4"/>
        <v>2.2430434336174141</v>
      </c>
      <c r="I90" t="s">
        <v>6</v>
      </c>
      <c r="J90" s="1">
        <v>2.2430434336174141</v>
      </c>
      <c r="K90" s="1">
        <v>2.393674915289044</v>
      </c>
      <c r="U90" s="1">
        <v>2.6017188859878155</v>
      </c>
    </row>
    <row r="91" spans="1:21" x14ac:dyDescent="0.25">
      <c r="A91" t="s">
        <v>7</v>
      </c>
      <c r="B91">
        <v>33.106999999999999</v>
      </c>
      <c r="C91">
        <v>9.1920000000000002</v>
      </c>
      <c r="D91">
        <f t="shared" si="3"/>
        <v>23.914999999999999</v>
      </c>
      <c r="E91" s="1">
        <f t="shared" si="4"/>
        <v>2.6017188859878155</v>
      </c>
      <c r="I91" t="s">
        <v>7</v>
      </c>
      <c r="J91" s="1">
        <v>2.6017188859878155</v>
      </c>
      <c r="K91" s="1">
        <v>2.4093777197563098</v>
      </c>
      <c r="U91" s="1">
        <v>2.4847259180415113</v>
      </c>
    </row>
    <row r="92" spans="1:21" x14ac:dyDescent="0.25">
      <c r="A92" t="s">
        <v>8</v>
      </c>
      <c r="B92">
        <v>32.738999999999997</v>
      </c>
      <c r="C92">
        <v>9.3949999999999996</v>
      </c>
      <c r="D92">
        <f t="shared" si="3"/>
        <v>23.343999999999998</v>
      </c>
      <c r="E92" s="1">
        <f t="shared" si="4"/>
        <v>2.4847259180415113</v>
      </c>
      <c r="I92" t="s">
        <v>8</v>
      </c>
      <c r="J92" s="1">
        <v>2.4847259180415113</v>
      </c>
      <c r="K92" s="1">
        <v>2.3613624268227782</v>
      </c>
      <c r="U92" s="1">
        <v>2.4207820032137115</v>
      </c>
    </row>
    <row r="93" spans="1:21" x14ac:dyDescent="0.25">
      <c r="A93" t="s">
        <v>9</v>
      </c>
      <c r="B93">
        <v>31.933</v>
      </c>
      <c r="C93">
        <v>9.3350000000000009</v>
      </c>
      <c r="D93">
        <f t="shared" si="3"/>
        <v>22.597999999999999</v>
      </c>
      <c r="E93" s="1">
        <f t="shared" si="4"/>
        <v>2.4207820032137115</v>
      </c>
      <c r="I93" t="s">
        <v>9</v>
      </c>
      <c r="J93" s="1">
        <v>2.4207820032137115</v>
      </c>
      <c r="K93" s="1">
        <v>2.3250133904659882</v>
      </c>
      <c r="U93" s="1">
        <v>2.6964856230031953</v>
      </c>
    </row>
    <row r="94" spans="1:21" x14ac:dyDescent="0.25">
      <c r="A94" t="s">
        <v>10</v>
      </c>
      <c r="B94">
        <v>30.082000000000001</v>
      </c>
      <c r="C94">
        <v>8.1379999999999999</v>
      </c>
      <c r="D94">
        <f t="shared" si="3"/>
        <v>21.944000000000003</v>
      </c>
      <c r="E94" s="1">
        <f t="shared" si="4"/>
        <v>2.6964856230031953</v>
      </c>
      <c r="I94" t="s">
        <v>10</v>
      </c>
      <c r="J94" s="1">
        <v>2.6964856230031953</v>
      </c>
      <c r="K94" s="1">
        <v>2.4300811010076191</v>
      </c>
      <c r="U94" s="1">
        <v>1.588097141714971</v>
      </c>
    </row>
    <row r="95" spans="1:21" x14ac:dyDescent="0.25">
      <c r="A95" t="s">
        <v>11</v>
      </c>
      <c r="B95">
        <v>51.792999999999999</v>
      </c>
      <c r="C95">
        <v>20.012</v>
      </c>
      <c r="D95">
        <f t="shared" si="3"/>
        <v>31.780999999999999</v>
      </c>
      <c r="E95" s="1">
        <f t="shared" si="4"/>
        <v>1.588097141714971</v>
      </c>
      <c r="I95" t="s">
        <v>11</v>
      </c>
      <c r="J95" s="1">
        <v>1.588097141714971</v>
      </c>
      <c r="K95" s="1">
        <v>1.6454127523485906</v>
      </c>
      <c r="U95" s="1">
        <v>2.445634266886326</v>
      </c>
    </row>
    <row r="96" spans="1:21" x14ac:dyDescent="0.25">
      <c r="E96" s="1"/>
      <c r="U96" s="1">
        <v>2.3644910309055547</v>
      </c>
    </row>
    <row r="97" spans="1:21" x14ac:dyDescent="0.25">
      <c r="E97" s="1"/>
      <c r="U97" s="1">
        <v>2.5569061962134252</v>
      </c>
    </row>
    <row r="98" spans="1:21" x14ac:dyDescent="0.25">
      <c r="A98" t="s">
        <v>1</v>
      </c>
      <c r="B98" t="s">
        <v>14</v>
      </c>
      <c r="C98" t="s">
        <v>13</v>
      </c>
      <c r="E98" s="1" t="s">
        <v>17</v>
      </c>
      <c r="U98" s="1">
        <v>2.6548085291557872</v>
      </c>
    </row>
    <row r="99" spans="1:21" x14ac:dyDescent="0.25">
      <c r="A99" t="s">
        <v>2</v>
      </c>
      <c r="B99">
        <v>33.463999999999999</v>
      </c>
      <c r="C99">
        <v>9.7119999999999997</v>
      </c>
      <c r="D99">
        <f t="shared" si="3"/>
        <v>23.751999999999999</v>
      </c>
      <c r="E99" s="1">
        <f t="shared" si="4"/>
        <v>2.445634266886326</v>
      </c>
      <c r="U99" s="1">
        <v>2.393674915289044</v>
      </c>
    </row>
    <row r="100" spans="1:21" x14ac:dyDescent="0.25">
      <c r="A100" t="s">
        <v>3</v>
      </c>
      <c r="B100">
        <v>31.135000000000002</v>
      </c>
      <c r="C100">
        <v>9.2539999999999996</v>
      </c>
      <c r="D100">
        <f t="shared" si="3"/>
        <v>21.881</v>
      </c>
      <c r="E100" s="1">
        <f t="shared" si="4"/>
        <v>2.3644910309055547</v>
      </c>
      <c r="U100" s="1">
        <v>2.4093777197563098</v>
      </c>
    </row>
    <row r="101" spans="1:21" x14ac:dyDescent="0.25">
      <c r="A101" t="s">
        <v>4</v>
      </c>
      <c r="B101">
        <v>33.064999999999998</v>
      </c>
      <c r="C101">
        <v>9.2959999999999994</v>
      </c>
      <c r="D101">
        <f t="shared" si="3"/>
        <v>23.768999999999998</v>
      </c>
      <c r="E101" s="1">
        <f t="shared" si="4"/>
        <v>2.5569061962134252</v>
      </c>
      <c r="U101" s="1">
        <v>2.3613624268227782</v>
      </c>
    </row>
    <row r="102" spans="1:21" x14ac:dyDescent="0.25">
      <c r="A102" t="s">
        <v>5</v>
      </c>
      <c r="B102">
        <v>33.594999999999999</v>
      </c>
      <c r="C102">
        <v>9.1920000000000002</v>
      </c>
      <c r="D102">
        <f t="shared" si="3"/>
        <v>24.402999999999999</v>
      </c>
      <c r="E102" s="1">
        <f t="shared" si="4"/>
        <v>2.6548085291557872</v>
      </c>
      <c r="L102" t="s">
        <v>32</v>
      </c>
      <c r="M102" s="2">
        <f>MIN(U85:U104)</f>
        <v>1.588097141714971</v>
      </c>
      <c r="U102" s="1">
        <v>2.3250133904659882</v>
      </c>
    </row>
    <row r="103" spans="1:21" x14ac:dyDescent="0.25">
      <c r="A103" t="s">
        <v>6</v>
      </c>
      <c r="B103">
        <v>33.051000000000002</v>
      </c>
      <c r="C103">
        <v>9.7390000000000008</v>
      </c>
      <c r="D103">
        <f t="shared" si="3"/>
        <v>23.312000000000001</v>
      </c>
      <c r="E103" s="1">
        <f t="shared" si="4"/>
        <v>2.393674915289044</v>
      </c>
      <c r="L103" t="s">
        <v>33</v>
      </c>
      <c r="M103" s="2">
        <f>MAX(U85:U104)</f>
        <v>2.6964856230031953</v>
      </c>
      <c r="U103" s="1">
        <v>2.4300811010076191</v>
      </c>
    </row>
    <row r="104" spans="1:21" x14ac:dyDescent="0.25">
      <c r="A104" t="s">
        <v>7</v>
      </c>
      <c r="B104">
        <v>31.338999999999999</v>
      </c>
      <c r="C104">
        <v>9.1920000000000002</v>
      </c>
      <c r="D104">
        <f t="shared" si="3"/>
        <v>22.146999999999998</v>
      </c>
      <c r="E104" s="1">
        <f t="shared" si="4"/>
        <v>2.4093777197563098</v>
      </c>
      <c r="L104" t="s">
        <v>34</v>
      </c>
      <c r="M104" s="2">
        <f>AVERAGE(U85:U104)</f>
        <v>2.3846336492137339</v>
      </c>
      <c r="U104" s="1">
        <v>1.6454127523485906</v>
      </c>
    </row>
    <row r="105" spans="1:21" x14ac:dyDescent="0.25">
      <c r="A105" t="s">
        <v>8</v>
      </c>
      <c r="B105">
        <v>31.58</v>
      </c>
      <c r="C105">
        <v>9.3949999999999996</v>
      </c>
      <c r="D105">
        <f t="shared" si="3"/>
        <v>22.184999999999999</v>
      </c>
      <c r="E105" s="1">
        <f t="shared" si="4"/>
        <v>2.3613624268227782</v>
      </c>
    </row>
    <row r="106" spans="1:21" x14ac:dyDescent="0.25">
      <c r="A106" t="s">
        <v>9</v>
      </c>
      <c r="B106">
        <v>31.039000000000001</v>
      </c>
      <c r="C106">
        <v>9.3350000000000009</v>
      </c>
      <c r="D106">
        <f t="shared" si="3"/>
        <v>21.704000000000001</v>
      </c>
      <c r="E106" s="1">
        <f t="shared" si="4"/>
        <v>2.3250133904659882</v>
      </c>
    </row>
    <row r="107" spans="1:21" x14ac:dyDescent="0.25">
      <c r="A107" t="s">
        <v>10</v>
      </c>
      <c r="B107">
        <v>27.914000000000001</v>
      </c>
      <c r="C107">
        <v>8.1379999999999999</v>
      </c>
      <c r="D107">
        <f t="shared" si="3"/>
        <v>19.776000000000003</v>
      </c>
      <c r="E107" s="1">
        <f t="shared" si="4"/>
        <v>2.4300811010076191</v>
      </c>
    </row>
    <row r="108" spans="1:21" x14ac:dyDescent="0.25">
      <c r="A108" t="s">
        <v>11</v>
      </c>
      <c r="B108">
        <v>52.94</v>
      </c>
      <c r="C108">
        <v>20.012</v>
      </c>
      <c r="D108">
        <f t="shared" si="3"/>
        <v>32.927999999999997</v>
      </c>
      <c r="E108" s="1">
        <f t="shared" si="4"/>
        <v>1.6454127523485906</v>
      </c>
    </row>
    <row r="109" spans="1:21" x14ac:dyDescent="0.25">
      <c r="E109" s="1"/>
    </row>
    <row r="110" spans="1:21" x14ac:dyDescent="0.25">
      <c r="E110" s="1"/>
    </row>
    <row r="111" spans="1:21" x14ac:dyDescent="0.25">
      <c r="A111" s="3" t="s">
        <v>20</v>
      </c>
      <c r="B111" s="3"/>
      <c r="E111" s="1"/>
    </row>
    <row r="112" spans="1:21" x14ac:dyDescent="0.25">
      <c r="A112" t="s">
        <v>1</v>
      </c>
      <c r="B112" t="s">
        <v>19</v>
      </c>
      <c r="C112" t="s">
        <v>13</v>
      </c>
      <c r="E112" s="1"/>
      <c r="I112" t="s">
        <v>24</v>
      </c>
      <c r="J112" t="s">
        <v>25</v>
      </c>
      <c r="K112" t="s">
        <v>27</v>
      </c>
      <c r="T112" s="1">
        <v>0.12892561983471088</v>
      </c>
    </row>
    <row r="113" spans="1:20" x14ac:dyDescent="0.25">
      <c r="A113" t="s">
        <v>2</v>
      </c>
      <c r="B113">
        <v>1.3660000000000001</v>
      </c>
      <c r="C113">
        <v>1.21</v>
      </c>
      <c r="D113">
        <f t="shared" si="3"/>
        <v>0.15600000000000014</v>
      </c>
      <c r="E113" s="1">
        <f t="shared" si="4"/>
        <v>0.12892561983471088</v>
      </c>
      <c r="I113" t="s">
        <v>2</v>
      </c>
      <c r="J113" s="1">
        <v>0.12892561983471088</v>
      </c>
      <c r="K113" s="1">
        <v>0.13719008264462804</v>
      </c>
      <c r="T113" s="1">
        <v>0.13983739837398368</v>
      </c>
    </row>
    <row r="114" spans="1:20" x14ac:dyDescent="0.25">
      <c r="A114" t="s">
        <v>3</v>
      </c>
      <c r="B114">
        <v>1.4019999999999999</v>
      </c>
      <c r="C114">
        <v>1.23</v>
      </c>
      <c r="D114">
        <f t="shared" si="3"/>
        <v>0.17199999999999993</v>
      </c>
      <c r="E114" s="1">
        <f t="shared" si="4"/>
        <v>0.13983739837398368</v>
      </c>
      <c r="I114" t="s">
        <v>3</v>
      </c>
      <c r="J114" s="1">
        <v>0.13983739837398368</v>
      </c>
      <c r="K114" s="1">
        <v>0.13577235772357726</v>
      </c>
      <c r="T114" s="1">
        <v>0.12349639133921403</v>
      </c>
    </row>
    <row r="115" spans="1:20" x14ac:dyDescent="0.25">
      <c r="A115" t="s">
        <v>4</v>
      </c>
      <c r="B115">
        <v>1.401</v>
      </c>
      <c r="C115">
        <v>1.2470000000000001</v>
      </c>
      <c r="D115">
        <f t="shared" si="3"/>
        <v>0.15399999999999991</v>
      </c>
      <c r="E115" s="1">
        <f t="shared" si="4"/>
        <v>0.12349639133921403</v>
      </c>
      <c r="I115" t="s">
        <v>4</v>
      </c>
      <c r="J115" s="1">
        <v>0.12349639133921403</v>
      </c>
      <c r="K115" s="1">
        <v>0.11708099438652758</v>
      </c>
      <c r="T115" s="1">
        <v>0.11084718923198744</v>
      </c>
    </row>
    <row r="116" spans="1:20" x14ac:dyDescent="0.25">
      <c r="A116" t="s">
        <v>5</v>
      </c>
      <c r="B116">
        <v>1.403</v>
      </c>
      <c r="C116">
        <v>1.2629999999999999</v>
      </c>
      <c r="D116">
        <f t="shared" si="3"/>
        <v>0.14000000000000012</v>
      </c>
      <c r="E116" s="1">
        <f t="shared" si="4"/>
        <v>0.11084718923198744</v>
      </c>
      <c r="I116" t="s">
        <v>5</v>
      </c>
      <c r="J116" s="1">
        <v>0.11084718923198744</v>
      </c>
      <c r="K116" s="1">
        <v>0.11876484560570083</v>
      </c>
      <c r="T116" s="1">
        <v>0.11233307148468187</v>
      </c>
    </row>
    <row r="117" spans="1:20" x14ac:dyDescent="0.25">
      <c r="A117" t="s">
        <v>6</v>
      </c>
      <c r="B117">
        <v>1.4159999999999999</v>
      </c>
      <c r="C117">
        <v>1.2729999999999999</v>
      </c>
      <c r="D117">
        <f t="shared" si="3"/>
        <v>0.14300000000000002</v>
      </c>
      <c r="E117" s="1">
        <f t="shared" si="4"/>
        <v>0.11233307148468187</v>
      </c>
      <c r="I117" t="s">
        <v>6</v>
      </c>
      <c r="J117" s="1">
        <v>0.11233307148468187</v>
      </c>
      <c r="K117" s="1">
        <v>0.11783189316575031</v>
      </c>
      <c r="T117" s="1">
        <v>0.10998439937597505</v>
      </c>
    </row>
    <row r="118" spans="1:20" x14ac:dyDescent="0.25">
      <c r="A118" t="s">
        <v>7</v>
      </c>
      <c r="B118">
        <v>1.423</v>
      </c>
      <c r="C118">
        <v>1.282</v>
      </c>
      <c r="D118">
        <f t="shared" si="3"/>
        <v>0.14100000000000001</v>
      </c>
      <c r="E118" s="1">
        <f t="shared" si="4"/>
        <v>0.10998439937597505</v>
      </c>
      <c r="I118" t="s">
        <v>7</v>
      </c>
      <c r="J118" s="1">
        <v>0.10998439937597505</v>
      </c>
      <c r="K118" s="1">
        <v>0.10998439937597505</v>
      </c>
      <c r="T118" s="1">
        <v>0.11361867704280167</v>
      </c>
    </row>
    <row r="119" spans="1:20" x14ac:dyDescent="0.25">
      <c r="A119" t="s">
        <v>8</v>
      </c>
      <c r="B119">
        <v>1.431</v>
      </c>
      <c r="C119">
        <v>1.2849999999999999</v>
      </c>
      <c r="D119">
        <f t="shared" si="3"/>
        <v>0.14600000000000013</v>
      </c>
      <c r="E119" s="1">
        <f t="shared" si="4"/>
        <v>0.11361867704280167</v>
      </c>
      <c r="I119" t="s">
        <v>8</v>
      </c>
      <c r="J119" s="1">
        <v>0.11361867704280167</v>
      </c>
      <c r="K119" s="1">
        <v>0.1151750972762647</v>
      </c>
      <c r="T119" s="1">
        <v>0.11169415292353824</v>
      </c>
    </row>
    <row r="120" spans="1:20" x14ac:dyDescent="0.25">
      <c r="A120" t="s">
        <v>9</v>
      </c>
      <c r="B120">
        <v>1.4830000000000001</v>
      </c>
      <c r="C120">
        <v>1.3340000000000001</v>
      </c>
      <c r="D120">
        <f t="shared" si="3"/>
        <v>0.14900000000000002</v>
      </c>
      <c r="E120" s="1">
        <f t="shared" si="4"/>
        <v>0.11169415292353824</v>
      </c>
      <c r="I120" t="s">
        <v>9</v>
      </c>
      <c r="J120" s="1">
        <v>0.11169415292353824</v>
      </c>
      <c r="K120" s="1">
        <v>0.10569715142428786</v>
      </c>
      <c r="T120" s="1">
        <v>7.9111727966689707E-2</v>
      </c>
    </row>
    <row r="121" spans="1:20" x14ac:dyDescent="0.25">
      <c r="A121" t="s">
        <v>10</v>
      </c>
      <c r="B121">
        <v>1.5549999999999999</v>
      </c>
      <c r="C121">
        <v>1.4410000000000001</v>
      </c>
      <c r="D121">
        <f t="shared" si="3"/>
        <v>0.11399999999999988</v>
      </c>
      <c r="E121" s="1">
        <f t="shared" si="4"/>
        <v>7.9111727966689707E-2</v>
      </c>
      <c r="I121" t="s">
        <v>10</v>
      </c>
      <c r="J121" s="1">
        <v>7.9111727966689707E-2</v>
      </c>
      <c r="K121" s="1">
        <v>7.8417765440666198E-2</v>
      </c>
      <c r="T121" s="1">
        <v>0.46376221498371345</v>
      </c>
    </row>
    <row r="122" spans="1:20" x14ac:dyDescent="0.25">
      <c r="A122" t="s">
        <v>11</v>
      </c>
      <c r="B122">
        <v>3.5950000000000002</v>
      </c>
      <c r="C122">
        <v>2.456</v>
      </c>
      <c r="D122">
        <f t="shared" si="3"/>
        <v>1.1390000000000002</v>
      </c>
      <c r="E122" s="1">
        <f t="shared" si="4"/>
        <v>0.46376221498371345</v>
      </c>
      <c r="I122" t="s">
        <v>11</v>
      </c>
      <c r="J122" s="1">
        <v>0.46376221498371345</v>
      </c>
      <c r="K122" s="1">
        <v>0.43851791530944623</v>
      </c>
      <c r="T122" s="1">
        <v>0.13719008264462804</v>
      </c>
    </row>
    <row r="123" spans="1:20" x14ac:dyDescent="0.25">
      <c r="E123" s="1"/>
      <c r="T123" s="1">
        <v>0.13577235772357726</v>
      </c>
    </row>
    <row r="124" spans="1:20" x14ac:dyDescent="0.25">
      <c r="E124" s="1"/>
      <c r="T124" s="1">
        <v>0.11708099438652758</v>
      </c>
    </row>
    <row r="125" spans="1:20" x14ac:dyDescent="0.25">
      <c r="A125" t="s">
        <v>1</v>
      </c>
      <c r="B125" t="s">
        <v>14</v>
      </c>
      <c r="C125" t="s">
        <v>13</v>
      </c>
      <c r="E125" s="1"/>
      <c r="T125" s="1">
        <v>0.11876484560570083</v>
      </c>
    </row>
    <row r="126" spans="1:20" x14ac:dyDescent="0.25">
      <c r="A126" t="s">
        <v>2</v>
      </c>
      <c r="B126">
        <v>1.3759999999999999</v>
      </c>
      <c r="C126">
        <v>1.21</v>
      </c>
      <c r="D126">
        <f t="shared" si="3"/>
        <v>0.16599999999999993</v>
      </c>
      <c r="E126" s="1">
        <f t="shared" si="4"/>
        <v>0.13719008264462804</v>
      </c>
      <c r="T126" s="1">
        <v>0.11783189316575031</v>
      </c>
    </row>
    <row r="127" spans="1:20" x14ac:dyDescent="0.25">
      <c r="A127" t="s">
        <v>3</v>
      </c>
      <c r="B127">
        <v>1.397</v>
      </c>
      <c r="C127">
        <v>1.23</v>
      </c>
      <c r="D127">
        <f t="shared" si="3"/>
        <v>0.16700000000000004</v>
      </c>
      <c r="E127" s="1">
        <f t="shared" si="4"/>
        <v>0.13577235772357726</v>
      </c>
      <c r="T127" s="1">
        <v>0.10998439937597505</v>
      </c>
    </row>
    <row r="128" spans="1:20" x14ac:dyDescent="0.25">
      <c r="A128" t="s">
        <v>4</v>
      </c>
      <c r="B128">
        <v>1.393</v>
      </c>
      <c r="C128">
        <v>1.2470000000000001</v>
      </c>
      <c r="D128">
        <f t="shared" si="3"/>
        <v>0.14599999999999991</v>
      </c>
      <c r="E128" s="1">
        <f t="shared" si="4"/>
        <v>0.11708099438652758</v>
      </c>
      <c r="L128" t="s">
        <v>32</v>
      </c>
      <c r="M128" s="2">
        <f>MIN(T112:T131)</f>
        <v>7.8417765440666198E-2</v>
      </c>
      <c r="T128" s="1">
        <v>0.1151750972762647</v>
      </c>
    </row>
    <row r="129" spans="1:20" x14ac:dyDescent="0.25">
      <c r="A129" t="s">
        <v>5</v>
      </c>
      <c r="B129">
        <v>1.413</v>
      </c>
      <c r="C129">
        <v>1.2629999999999999</v>
      </c>
      <c r="D129">
        <f t="shared" si="3"/>
        <v>0.15000000000000013</v>
      </c>
      <c r="E129" s="1">
        <f t="shared" si="4"/>
        <v>0.11876484560570083</v>
      </c>
      <c r="L129" t="s">
        <v>33</v>
      </c>
      <c r="M129" s="2">
        <f>MAX(T112:T131)</f>
        <v>0.46376221498371345</v>
      </c>
      <c r="T129" s="1">
        <v>0.10569715142428786</v>
      </c>
    </row>
    <row r="130" spans="1:20" x14ac:dyDescent="0.25">
      <c r="A130" t="s">
        <v>6</v>
      </c>
      <c r="B130">
        <v>1.423</v>
      </c>
      <c r="C130">
        <v>1.2729999999999999</v>
      </c>
      <c r="D130">
        <f t="shared" si="3"/>
        <v>0.15000000000000013</v>
      </c>
      <c r="E130" s="1">
        <f t="shared" si="4"/>
        <v>0.11783189316575031</v>
      </c>
      <c r="L130" t="s">
        <v>34</v>
      </c>
      <c r="M130" s="2">
        <f>AVERAGE(T112:T131)</f>
        <v>0.14840216724550601</v>
      </c>
      <c r="T130" s="1">
        <v>7.8417765440666198E-2</v>
      </c>
    </row>
    <row r="131" spans="1:20" x14ac:dyDescent="0.25">
      <c r="A131" t="s">
        <v>7</v>
      </c>
      <c r="B131">
        <v>1.423</v>
      </c>
      <c r="C131">
        <v>1.282</v>
      </c>
      <c r="D131">
        <f t="shared" si="3"/>
        <v>0.14100000000000001</v>
      </c>
      <c r="E131" s="1">
        <f t="shared" si="4"/>
        <v>0.10998439937597505</v>
      </c>
      <c r="T131" s="1">
        <v>0.43851791530944623</v>
      </c>
    </row>
    <row r="132" spans="1:20" x14ac:dyDescent="0.25">
      <c r="A132" t="s">
        <v>8</v>
      </c>
      <c r="B132">
        <v>1.4330000000000001</v>
      </c>
      <c r="C132">
        <v>1.2849999999999999</v>
      </c>
      <c r="D132">
        <f t="shared" ref="D132:D195" si="5">B132-C132</f>
        <v>0.14800000000000013</v>
      </c>
      <c r="E132" s="1">
        <f t="shared" si="4"/>
        <v>0.1151750972762647</v>
      </c>
    </row>
    <row r="133" spans="1:20" x14ac:dyDescent="0.25">
      <c r="A133" t="s">
        <v>9</v>
      </c>
      <c r="B133">
        <v>1.4750000000000001</v>
      </c>
      <c r="C133">
        <v>1.3340000000000001</v>
      </c>
      <c r="D133">
        <f t="shared" si="5"/>
        <v>0.14100000000000001</v>
      </c>
      <c r="E133" s="1">
        <f t="shared" si="4"/>
        <v>0.10569715142428786</v>
      </c>
    </row>
    <row r="134" spans="1:20" x14ac:dyDescent="0.25">
      <c r="A134" t="s">
        <v>10</v>
      </c>
      <c r="B134">
        <v>1.554</v>
      </c>
      <c r="C134">
        <v>1.4410000000000001</v>
      </c>
      <c r="D134">
        <f t="shared" si="5"/>
        <v>0.11299999999999999</v>
      </c>
      <c r="E134" s="1">
        <f t="shared" si="4"/>
        <v>7.8417765440666198E-2</v>
      </c>
    </row>
    <row r="135" spans="1:20" x14ac:dyDescent="0.25">
      <c r="A135" t="s">
        <v>11</v>
      </c>
      <c r="B135">
        <v>3.5329999999999999</v>
      </c>
      <c r="C135">
        <v>2.456</v>
      </c>
      <c r="D135">
        <f t="shared" si="5"/>
        <v>1.077</v>
      </c>
      <c r="E135" s="1">
        <f t="shared" si="4"/>
        <v>0.43851791530944623</v>
      </c>
    </row>
    <row r="136" spans="1:20" x14ac:dyDescent="0.25">
      <c r="E136" s="1"/>
    </row>
    <row r="137" spans="1:20" x14ac:dyDescent="0.25">
      <c r="E137" s="1"/>
    </row>
    <row r="138" spans="1:20" x14ac:dyDescent="0.25">
      <c r="A138" s="3" t="s">
        <v>21</v>
      </c>
      <c r="B138" s="3"/>
      <c r="E138" s="1"/>
    </row>
    <row r="139" spans="1:20" x14ac:dyDescent="0.25">
      <c r="A139" t="s">
        <v>1</v>
      </c>
      <c r="B139" t="s">
        <v>19</v>
      </c>
      <c r="C139" t="s">
        <v>13</v>
      </c>
      <c r="E139" s="1"/>
      <c r="I139" t="s">
        <v>24</v>
      </c>
      <c r="J139" t="s">
        <v>25</v>
      </c>
      <c r="K139" t="s">
        <v>27</v>
      </c>
      <c r="T139" s="1">
        <v>0.55382003395585733</v>
      </c>
    </row>
    <row r="140" spans="1:20" x14ac:dyDescent="0.25">
      <c r="A140" t="s">
        <v>2</v>
      </c>
      <c r="B140">
        <v>4.5759999999999996</v>
      </c>
      <c r="C140">
        <v>2.9449999999999998</v>
      </c>
      <c r="D140">
        <f t="shared" si="5"/>
        <v>1.6309999999999998</v>
      </c>
      <c r="E140" s="1">
        <f t="shared" si="4"/>
        <v>0.55382003395585733</v>
      </c>
      <c r="I140" t="s">
        <v>2</v>
      </c>
      <c r="J140" s="1">
        <v>0.55382003395585733</v>
      </c>
      <c r="K140" s="1">
        <v>0.61799660441426141</v>
      </c>
      <c r="T140" s="1">
        <v>0.52912142152023689</v>
      </c>
    </row>
    <row r="141" spans="1:20" x14ac:dyDescent="0.25">
      <c r="A141" t="s">
        <v>3</v>
      </c>
      <c r="B141">
        <v>4.6470000000000002</v>
      </c>
      <c r="C141">
        <v>3.0390000000000001</v>
      </c>
      <c r="D141">
        <f t="shared" si="5"/>
        <v>1.6080000000000001</v>
      </c>
      <c r="E141" s="1">
        <f t="shared" si="4"/>
        <v>0.52912142152023689</v>
      </c>
      <c r="I141" t="s">
        <v>3</v>
      </c>
      <c r="J141" s="1">
        <v>0.52912142152023689</v>
      </c>
      <c r="K141" s="1">
        <v>0.55709114840408025</v>
      </c>
      <c r="T141" s="1">
        <v>0.62405271828665565</v>
      </c>
    </row>
    <row r="142" spans="1:20" x14ac:dyDescent="0.25">
      <c r="A142" t="s">
        <v>4</v>
      </c>
      <c r="B142">
        <v>4.9290000000000003</v>
      </c>
      <c r="C142">
        <v>3.0350000000000001</v>
      </c>
      <c r="D142">
        <f t="shared" si="5"/>
        <v>1.8940000000000001</v>
      </c>
      <c r="E142" s="1">
        <f t="shared" si="4"/>
        <v>0.62405271828665565</v>
      </c>
      <c r="I142" t="s">
        <v>4</v>
      </c>
      <c r="J142" s="1">
        <v>0.62405271828665565</v>
      </c>
      <c r="K142" s="1">
        <v>0.49686985172981873</v>
      </c>
      <c r="T142" s="1">
        <v>0.61992741669416029</v>
      </c>
    </row>
    <row r="143" spans="1:20" x14ac:dyDescent="0.25">
      <c r="A143" t="s">
        <v>5</v>
      </c>
      <c r="B143">
        <v>4.91</v>
      </c>
      <c r="C143">
        <v>3.0310000000000001</v>
      </c>
      <c r="D143">
        <f t="shared" si="5"/>
        <v>1.879</v>
      </c>
      <c r="E143" s="1">
        <f t="shared" si="4"/>
        <v>0.61992741669416029</v>
      </c>
      <c r="I143" t="s">
        <v>5</v>
      </c>
      <c r="J143" s="1">
        <v>0.61992741669416029</v>
      </c>
      <c r="K143" s="1">
        <v>0.53381722203893101</v>
      </c>
      <c r="T143" s="1">
        <v>0.45057096247960843</v>
      </c>
    </row>
    <row r="144" spans="1:20" x14ac:dyDescent="0.25">
      <c r="A144" t="s">
        <v>6</v>
      </c>
      <c r="B144">
        <v>4.4459999999999997</v>
      </c>
      <c r="C144">
        <v>3.0649999999999999</v>
      </c>
      <c r="D144">
        <f t="shared" si="5"/>
        <v>1.3809999999999998</v>
      </c>
      <c r="E144" s="1">
        <f t="shared" si="4"/>
        <v>0.45057096247960843</v>
      </c>
      <c r="I144" t="s">
        <v>6</v>
      </c>
      <c r="J144" s="1">
        <v>0.45057096247960843</v>
      </c>
      <c r="K144" s="1">
        <v>0.51908646003262637</v>
      </c>
      <c r="T144" s="1">
        <v>0.59844647078689628</v>
      </c>
    </row>
    <row r="145" spans="1:20" x14ac:dyDescent="0.25">
      <c r="A145" t="s">
        <v>7</v>
      </c>
      <c r="B145">
        <v>4.7329999999999997</v>
      </c>
      <c r="C145">
        <v>2.9609999999999999</v>
      </c>
      <c r="D145">
        <f t="shared" si="5"/>
        <v>1.7719999999999998</v>
      </c>
      <c r="E145" s="1">
        <f t="shared" ref="E145:E208" si="6">D145/C145</f>
        <v>0.59844647078689628</v>
      </c>
      <c r="I145" t="s">
        <v>7</v>
      </c>
      <c r="J145" s="1">
        <v>0.59844647078689628</v>
      </c>
      <c r="K145" s="1">
        <v>0.66430260047281331</v>
      </c>
      <c r="T145" s="1">
        <v>0.52927631578947365</v>
      </c>
    </row>
    <row r="146" spans="1:20" x14ac:dyDescent="0.25">
      <c r="A146" t="s">
        <v>8</v>
      </c>
      <c r="B146">
        <v>4.649</v>
      </c>
      <c r="C146">
        <v>3.04</v>
      </c>
      <c r="D146">
        <f t="shared" si="5"/>
        <v>1.609</v>
      </c>
      <c r="E146" s="1">
        <f t="shared" si="6"/>
        <v>0.52927631578947365</v>
      </c>
      <c r="I146" t="s">
        <v>8</v>
      </c>
      <c r="J146" s="1">
        <v>0.52927631578947365</v>
      </c>
      <c r="K146" s="1">
        <v>0.54605263157894746</v>
      </c>
      <c r="T146" s="1">
        <v>0.5531424810793022</v>
      </c>
    </row>
    <row r="147" spans="1:20" x14ac:dyDescent="0.25">
      <c r="A147" t="s">
        <v>9</v>
      </c>
      <c r="B147">
        <v>4.72</v>
      </c>
      <c r="C147">
        <v>3.0390000000000001</v>
      </c>
      <c r="D147">
        <f t="shared" si="5"/>
        <v>1.6809999999999996</v>
      </c>
      <c r="E147" s="1">
        <f t="shared" si="6"/>
        <v>0.5531424810793022</v>
      </c>
      <c r="I147" t="s">
        <v>9</v>
      </c>
      <c r="J147" s="1">
        <v>0.5531424810793022</v>
      </c>
      <c r="K147" s="1">
        <v>0.49457058242843027</v>
      </c>
      <c r="T147" s="1">
        <v>0.47196870925684481</v>
      </c>
    </row>
    <row r="148" spans="1:20" x14ac:dyDescent="0.25">
      <c r="A148" t="s">
        <v>10</v>
      </c>
      <c r="B148">
        <v>4.516</v>
      </c>
      <c r="C148">
        <v>3.0680000000000001</v>
      </c>
      <c r="D148">
        <f t="shared" si="5"/>
        <v>1.448</v>
      </c>
      <c r="E148" s="1">
        <f t="shared" si="6"/>
        <v>0.47196870925684481</v>
      </c>
      <c r="I148" t="s">
        <v>10</v>
      </c>
      <c r="J148" s="1">
        <v>0.47196870925684481</v>
      </c>
      <c r="K148" s="1">
        <v>0.47001303780964787</v>
      </c>
      <c r="T148" s="1">
        <v>0.98565941101152366</v>
      </c>
    </row>
    <row r="149" spans="1:20" x14ac:dyDescent="0.25">
      <c r="A149" t="s">
        <v>11</v>
      </c>
      <c r="B149">
        <v>15.507999999999999</v>
      </c>
      <c r="C149">
        <v>7.81</v>
      </c>
      <c r="D149">
        <f t="shared" si="5"/>
        <v>7.6979999999999995</v>
      </c>
      <c r="E149" s="1">
        <f t="shared" si="6"/>
        <v>0.98565941101152366</v>
      </c>
      <c r="I149" t="s">
        <v>11</v>
      </c>
      <c r="J149" s="1">
        <v>0.98565941101152366</v>
      </c>
      <c r="K149" s="1">
        <v>1.0213828425096032</v>
      </c>
      <c r="T149" s="1">
        <v>0.61799660441426141</v>
      </c>
    </row>
    <row r="150" spans="1:20" x14ac:dyDescent="0.25">
      <c r="E150" s="1"/>
      <c r="T150" s="1">
        <v>0.55709114840408025</v>
      </c>
    </row>
    <row r="151" spans="1:20" x14ac:dyDescent="0.25">
      <c r="E151" s="1"/>
      <c r="T151" s="1">
        <v>0.49686985172981873</v>
      </c>
    </row>
    <row r="152" spans="1:20" x14ac:dyDescent="0.25">
      <c r="A152" t="s">
        <v>1</v>
      </c>
      <c r="B152" t="s">
        <v>14</v>
      </c>
      <c r="C152" t="s">
        <v>13</v>
      </c>
      <c r="E152" s="1"/>
      <c r="T152" s="1">
        <v>0.53381722203893101</v>
      </c>
    </row>
    <row r="153" spans="1:20" x14ac:dyDescent="0.25">
      <c r="A153" t="s">
        <v>2</v>
      </c>
      <c r="B153">
        <v>4.7649999999999997</v>
      </c>
      <c r="C153">
        <v>2.9449999999999998</v>
      </c>
      <c r="D153">
        <f t="shared" si="5"/>
        <v>1.8199999999999998</v>
      </c>
      <c r="E153" s="1">
        <f t="shared" si="6"/>
        <v>0.61799660441426141</v>
      </c>
      <c r="T153" s="1">
        <v>0.51908646003262637</v>
      </c>
    </row>
    <row r="154" spans="1:20" x14ac:dyDescent="0.25">
      <c r="A154" t="s">
        <v>3</v>
      </c>
      <c r="B154">
        <v>4.7320000000000002</v>
      </c>
      <c r="C154">
        <v>3.0390000000000001</v>
      </c>
      <c r="D154">
        <f t="shared" si="5"/>
        <v>1.6930000000000001</v>
      </c>
      <c r="E154" s="1">
        <f t="shared" si="6"/>
        <v>0.55709114840408025</v>
      </c>
      <c r="T154" s="1">
        <v>0.66430260047281331</v>
      </c>
    </row>
    <row r="155" spans="1:20" x14ac:dyDescent="0.25">
      <c r="A155" t="s">
        <v>4</v>
      </c>
      <c r="B155">
        <v>4.5430000000000001</v>
      </c>
      <c r="C155">
        <v>3.0350000000000001</v>
      </c>
      <c r="D155">
        <f t="shared" si="5"/>
        <v>1.508</v>
      </c>
      <c r="E155" s="1">
        <f t="shared" si="6"/>
        <v>0.49686985172981873</v>
      </c>
      <c r="L155" t="s">
        <v>29</v>
      </c>
      <c r="M155" s="2">
        <f>MIN(T139:T158)</f>
        <v>0.45057096247960843</v>
      </c>
      <c r="T155" s="1">
        <v>0.54605263157894746</v>
      </c>
    </row>
    <row r="156" spans="1:20" x14ac:dyDescent="0.25">
      <c r="A156" t="s">
        <v>5</v>
      </c>
      <c r="B156">
        <v>4.649</v>
      </c>
      <c r="C156">
        <v>3.0310000000000001</v>
      </c>
      <c r="D156">
        <f t="shared" si="5"/>
        <v>1.6179999999999999</v>
      </c>
      <c r="E156" s="1">
        <f t="shared" si="6"/>
        <v>0.53381722203893101</v>
      </c>
      <c r="L156" t="s">
        <v>30</v>
      </c>
      <c r="M156" s="2">
        <f>MAX(T139:T158)</f>
        <v>1.0213828425096032</v>
      </c>
      <c r="T156" s="1">
        <v>0.49457058242843027</v>
      </c>
    </row>
    <row r="157" spans="1:20" x14ac:dyDescent="0.25">
      <c r="A157" t="s">
        <v>6</v>
      </c>
      <c r="B157">
        <v>4.6559999999999997</v>
      </c>
      <c r="C157">
        <v>3.0649999999999999</v>
      </c>
      <c r="D157">
        <f t="shared" si="5"/>
        <v>1.5909999999999997</v>
      </c>
      <c r="E157" s="1">
        <f t="shared" si="6"/>
        <v>0.51908646003262637</v>
      </c>
      <c r="L157" t="s">
        <v>34</v>
      </c>
      <c r="M157" s="2">
        <f>AVERAGE(T139:T158)</f>
        <v>0.59185844611398586</v>
      </c>
      <c r="T157" s="1">
        <v>0.47001303780964787</v>
      </c>
    </row>
    <row r="158" spans="1:20" x14ac:dyDescent="0.25">
      <c r="A158" t="s">
        <v>7</v>
      </c>
      <c r="B158">
        <v>4.9279999999999999</v>
      </c>
      <c r="C158">
        <v>2.9609999999999999</v>
      </c>
      <c r="D158">
        <f t="shared" si="5"/>
        <v>1.9670000000000001</v>
      </c>
      <c r="E158" s="1">
        <f t="shared" si="6"/>
        <v>0.66430260047281331</v>
      </c>
      <c r="T158" s="1">
        <v>1.0213828425096032</v>
      </c>
    </row>
    <row r="159" spans="1:20" x14ac:dyDescent="0.25">
      <c r="A159" t="s">
        <v>8</v>
      </c>
      <c r="B159">
        <v>4.7</v>
      </c>
      <c r="C159">
        <v>3.04</v>
      </c>
      <c r="D159">
        <f t="shared" si="5"/>
        <v>1.6600000000000001</v>
      </c>
      <c r="E159" s="1">
        <f t="shared" si="6"/>
        <v>0.54605263157894746</v>
      </c>
    </row>
    <row r="160" spans="1:20" x14ac:dyDescent="0.25">
      <c r="A160" t="s">
        <v>9</v>
      </c>
      <c r="B160">
        <v>4.5419999999999998</v>
      </c>
      <c r="C160">
        <v>3.0390000000000001</v>
      </c>
      <c r="D160">
        <f t="shared" si="5"/>
        <v>1.5029999999999997</v>
      </c>
      <c r="E160" s="1">
        <f t="shared" si="6"/>
        <v>0.49457058242843027</v>
      </c>
    </row>
    <row r="161" spans="1:20" x14ac:dyDescent="0.25">
      <c r="A161" t="s">
        <v>10</v>
      </c>
      <c r="B161">
        <v>4.51</v>
      </c>
      <c r="C161">
        <v>3.0680000000000001</v>
      </c>
      <c r="D161">
        <f t="shared" si="5"/>
        <v>1.4419999999999997</v>
      </c>
      <c r="E161" s="1">
        <f t="shared" si="6"/>
        <v>0.47001303780964787</v>
      </c>
    </row>
    <row r="162" spans="1:20" x14ac:dyDescent="0.25">
      <c r="A162" t="s">
        <v>11</v>
      </c>
      <c r="B162">
        <v>15.787000000000001</v>
      </c>
      <c r="C162">
        <v>7.81</v>
      </c>
      <c r="D162">
        <f t="shared" si="5"/>
        <v>7.9770000000000012</v>
      </c>
      <c r="E162" s="1">
        <f t="shared" si="6"/>
        <v>1.0213828425096032</v>
      </c>
    </row>
    <row r="163" spans="1:20" x14ac:dyDescent="0.25">
      <c r="E163" s="1"/>
    </row>
    <row r="164" spans="1:20" x14ac:dyDescent="0.25">
      <c r="E164" s="1"/>
    </row>
    <row r="165" spans="1:20" x14ac:dyDescent="0.25">
      <c r="A165" s="3" t="s">
        <v>22</v>
      </c>
      <c r="B165" s="3"/>
      <c r="E165" s="1"/>
    </row>
    <row r="166" spans="1:20" x14ac:dyDescent="0.25">
      <c r="A166" t="s">
        <v>1</v>
      </c>
      <c r="B166" t="s">
        <v>19</v>
      </c>
      <c r="C166" t="s">
        <v>13</v>
      </c>
      <c r="E166" s="1"/>
      <c r="I166" t="s">
        <v>24</v>
      </c>
      <c r="J166" t="s">
        <v>25</v>
      </c>
      <c r="K166" t="s">
        <v>27</v>
      </c>
      <c r="T166" s="1">
        <v>0.76303592120509856</v>
      </c>
    </row>
    <row r="167" spans="1:20" x14ac:dyDescent="0.25">
      <c r="A167" t="s">
        <v>2</v>
      </c>
      <c r="B167">
        <v>3.0430000000000001</v>
      </c>
      <c r="C167">
        <v>1.726</v>
      </c>
      <c r="D167">
        <f t="shared" si="5"/>
        <v>1.3170000000000002</v>
      </c>
      <c r="E167" s="1">
        <f t="shared" si="6"/>
        <v>0.76303592120509856</v>
      </c>
      <c r="I167" t="s">
        <v>2</v>
      </c>
      <c r="J167" s="1">
        <v>0.76303592120509856</v>
      </c>
      <c r="K167" s="1">
        <v>0.67381228273464644</v>
      </c>
      <c r="T167" s="1">
        <v>0.77149451817657222</v>
      </c>
    </row>
    <row r="168" spans="1:20" x14ac:dyDescent="0.25">
      <c r="A168" t="s">
        <v>3</v>
      </c>
      <c r="B168">
        <v>3.07</v>
      </c>
      <c r="C168">
        <v>1.7330000000000001</v>
      </c>
      <c r="D168">
        <f t="shared" si="5"/>
        <v>1.3369999999999997</v>
      </c>
      <c r="E168" s="1">
        <f t="shared" si="6"/>
        <v>0.77149451817657222</v>
      </c>
      <c r="I168" t="s">
        <v>3</v>
      </c>
      <c r="J168" s="1">
        <v>0.77149451817657222</v>
      </c>
      <c r="K168" s="1">
        <v>0.68667051356029996</v>
      </c>
      <c r="T168" s="1">
        <v>0.75873925501432649</v>
      </c>
    </row>
    <row r="169" spans="1:20" x14ac:dyDescent="0.25">
      <c r="A169" t="s">
        <v>4</v>
      </c>
      <c r="B169">
        <v>3.069</v>
      </c>
      <c r="C169">
        <v>1.7450000000000001</v>
      </c>
      <c r="D169">
        <f t="shared" si="5"/>
        <v>1.3239999999999998</v>
      </c>
      <c r="E169" s="1">
        <f t="shared" si="6"/>
        <v>0.75873925501432649</v>
      </c>
      <c r="I169" t="s">
        <v>4</v>
      </c>
      <c r="J169" s="1">
        <v>0.75873925501432649</v>
      </c>
      <c r="K169" s="1">
        <v>0.67564469914040104</v>
      </c>
      <c r="T169" s="1">
        <v>0.71171171171171166</v>
      </c>
    </row>
    <row r="170" spans="1:20" x14ac:dyDescent="0.25">
      <c r="A170" t="s">
        <v>5</v>
      </c>
      <c r="B170">
        <v>3.04</v>
      </c>
      <c r="C170">
        <v>1.776</v>
      </c>
      <c r="D170">
        <f t="shared" si="5"/>
        <v>1.264</v>
      </c>
      <c r="E170" s="1">
        <f t="shared" si="6"/>
        <v>0.71171171171171166</v>
      </c>
      <c r="I170" t="s">
        <v>5</v>
      </c>
      <c r="J170" s="1">
        <v>0.71171171171171166</v>
      </c>
      <c r="K170" s="1">
        <v>0.6509009009009008</v>
      </c>
      <c r="T170" s="1">
        <v>0.67205800334634713</v>
      </c>
    </row>
    <row r="171" spans="1:20" x14ac:dyDescent="0.25">
      <c r="A171" t="s">
        <v>6</v>
      </c>
      <c r="B171">
        <v>2.9980000000000002</v>
      </c>
      <c r="C171">
        <v>1.7929999999999999</v>
      </c>
      <c r="D171">
        <f t="shared" si="5"/>
        <v>1.2050000000000003</v>
      </c>
      <c r="E171" s="1">
        <f t="shared" si="6"/>
        <v>0.67205800334634713</v>
      </c>
      <c r="I171" t="s">
        <v>6</v>
      </c>
      <c r="J171" s="1">
        <v>0.67205800334634713</v>
      </c>
      <c r="K171" s="1">
        <v>0.63915225878416071</v>
      </c>
      <c r="T171" s="1">
        <v>0.65027624309392262</v>
      </c>
    </row>
    <row r="172" spans="1:20" x14ac:dyDescent="0.25">
      <c r="A172" t="s">
        <v>7</v>
      </c>
      <c r="B172">
        <v>2.9870000000000001</v>
      </c>
      <c r="C172">
        <v>1.81</v>
      </c>
      <c r="D172">
        <f t="shared" si="5"/>
        <v>1.177</v>
      </c>
      <c r="E172" s="1">
        <f t="shared" si="6"/>
        <v>0.65027624309392262</v>
      </c>
      <c r="I172" t="s">
        <v>7</v>
      </c>
      <c r="J172" s="1">
        <v>0.65027624309392262</v>
      </c>
      <c r="K172" s="1">
        <v>0.62044198895027614</v>
      </c>
      <c r="T172" s="1">
        <v>0.67369589345172032</v>
      </c>
    </row>
    <row r="173" spans="1:20" x14ac:dyDescent="0.25">
      <c r="A173" t="s">
        <v>8</v>
      </c>
      <c r="B173">
        <v>3.016</v>
      </c>
      <c r="C173">
        <v>1.802</v>
      </c>
      <c r="D173">
        <f t="shared" si="5"/>
        <v>1.214</v>
      </c>
      <c r="E173" s="1">
        <f t="shared" si="6"/>
        <v>0.67369589345172032</v>
      </c>
      <c r="I173" t="s">
        <v>8</v>
      </c>
      <c r="J173" s="1">
        <v>0.67369589345172032</v>
      </c>
      <c r="K173" s="1">
        <v>0.6437291897891233</v>
      </c>
      <c r="T173" s="1">
        <v>0.60987261146496818</v>
      </c>
    </row>
    <row r="174" spans="1:20" x14ac:dyDescent="0.25">
      <c r="A174" t="s">
        <v>9</v>
      </c>
      <c r="B174">
        <v>3.0329999999999999</v>
      </c>
      <c r="C174">
        <v>1.8839999999999999</v>
      </c>
      <c r="D174">
        <f t="shared" si="5"/>
        <v>1.149</v>
      </c>
      <c r="E174" s="1">
        <f t="shared" si="6"/>
        <v>0.60987261146496818</v>
      </c>
      <c r="I174" t="s">
        <v>9</v>
      </c>
      <c r="J174" s="1">
        <v>0.60987261146496818</v>
      </c>
      <c r="K174" s="1">
        <v>0.58439490445859876</v>
      </c>
      <c r="T174" s="1">
        <v>0.49162561576354696</v>
      </c>
    </row>
    <row r="175" spans="1:20" x14ac:dyDescent="0.25">
      <c r="A175" t="s">
        <v>10</v>
      </c>
      <c r="B175">
        <v>3.028</v>
      </c>
      <c r="C175">
        <v>2.0299999999999998</v>
      </c>
      <c r="D175">
        <f t="shared" si="5"/>
        <v>0.99800000000000022</v>
      </c>
      <c r="E175" s="1">
        <f t="shared" si="6"/>
        <v>0.49162561576354696</v>
      </c>
      <c r="I175" t="s">
        <v>10</v>
      </c>
      <c r="J175" s="1">
        <v>0.49162561576354696</v>
      </c>
      <c r="K175" s="1">
        <v>0.45960591133004947</v>
      </c>
      <c r="T175" s="1">
        <v>0.80633802816901423</v>
      </c>
    </row>
    <row r="176" spans="1:20" x14ac:dyDescent="0.25">
      <c r="A176" t="s">
        <v>11</v>
      </c>
      <c r="B176">
        <v>8.2080000000000002</v>
      </c>
      <c r="C176">
        <v>4.5439999999999996</v>
      </c>
      <c r="D176">
        <f t="shared" si="5"/>
        <v>3.6640000000000006</v>
      </c>
      <c r="E176" s="1">
        <f t="shared" si="6"/>
        <v>0.80633802816901423</v>
      </c>
      <c r="I176" t="s">
        <v>11</v>
      </c>
      <c r="J176" s="1">
        <v>0.80633802816901423</v>
      </c>
      <c r="K176" s="1">
        <v>0.80259683098591583</v>
      </c>
      <c r="T176" s="1">
        <v>0.67381228273464644</v>
      </c>
    </row>
    <row r="177" spans="1:20" x14ac:dyDescent="0.25">
      <c r="E177" s="1"/>
      <c r="T177" s="1">
        <v>0.68667051356029996</v>
      </c>
    </row>
    <row r="178" spans="1:20" x14ac:dyDescent="0.25">
      <c r="E178" s="1"/>
      <c r="T178" s="1">
        <v>0.67564469914040104</v>
      </c>
    </row>
    <row r="179" spans="1:20" x14ac:dyDescent="0.25">
      <c r="A179" t="s">
        <v>1</v>
      </c>
      <c r="B179" t="s">
        <v>14</v>
      </c>
      <c r="C179" t="s">
        <v>13</v>
      </c>
      <c r="E179" s="1"/>
      <c r="T179" s="1">
        <v>0.6509009009009008</v>
      </c>
    </row>
    <row r="180" spans="1:20" x14ac:dyDescent="0.25">
      <c r="A180" t="s">
        <v>2</v>
      </c>
      <c r="B180">
        <v>2.8889999999999998</v>
      </c>
      <c r="C180">
        <v>1.726</v>
      </c>
      <c r="D180">
        <f t="shared" si="5"/>
        <v>1.1629999999999998</v>
      </c>
      <c r="E180" s="1">
        <f t="shared" si="6"/>
        <v>0.67381228273464644</v>
      </c>
      <c r="T180" s="1">
        <v>0.63915225878416071</v>
      </c>
    </row>
    <row r="181" spans="1:20" x14ac:dyDescent="0.25">
      <c r="A181" t="s">
        <v>3</v>
      </c>
      <c r="B181">
        <v>2.923</v>
      </c>
      <c r="C181">
        <v>1.7330000000000001</v>
      </c>
      <c r="D181">
        <f t="shared" si="5"/>
        <v>1.19</v>
      </c>
      <c r="E181" s="1">
        <f t="shared" si="6"/>
        <v>0.68667051356029996</v>
      </c>
      <c r="M181" t="s">
        <v>29</v>
      </c>
      <c r="N181" s="2">
        <f>MIN(T166:T185)</f>
        <v>0.45960591133004947</v>
      </c>
      <c r="T181" s="1">
        <v>0.62044198895027614</v>
      </c>
    </row>
    <row r="182" spans="1:20" x14ac:dyDescent="0.25">
      <c r="A182" t="s">
        <v>4</v>
      </c>
      <c r="B182">
        <v>2.9239999999999999</v>
      </c>
      <c r="C182">
        <v>1.7450000000000001</v>
      </c>
      <c r="D182">
        <f t="shared" si="5"/>
        <v>1.1789999999999998</v>
      </c>
      <c r="E182" s="1">
        <f t="shared" si="6"/>
        <v>0.67564469914040104</v>
      </c>
      <c r="M182" t="s">
        <v>30</v>
      </c>
      <c r="N182" s="2">
        <f>MAX(T166:T185)</f>
        <v>0.80633802816901423</v>
      </c>
      <c r="T182" s="1">
        <v>0.6437291897891233</v>
      </c>
    </row>
    <row r="183" spans="1:20" x14ac:dyDescent="0.25">
      <c r="A183" t="s">
        <v>5</v>
      </c>
      <c r="B183">
        <v>2.9319999999999999</v>
      </c>
      <c r="C183">
        <v>1.776</v>
      </c>
      <c r="D183">
        <f t="shared" si="5"/>
        <v>1.1559999999999999</v>
      </c>
      <c r="E183" s="1">
        <f t="shared" si="6"/>
        <v>0.6509009009009008</v>
      </c>
      <c r="M183" t="s">
        <v>31</v>
      </c>
      <c r="N183" s="2">
        <f>AVERAGE(T166:T185)</f>
        <v>0.66728986410158009</v>
      </c>
      <c r="T183" s="1">
        <v>0.58439490445859876</v>
      </c>
    </row>
    <row r="184" spans="1:20" x14ac:dyDescent="0.25">
      <c r="A184" t="s">
        <v>6</v>
      </c>
      <c r="B184">
        <v>2.9390000000000001</v>
      </c>
      <c r="C184">
        <v>1.7929999999999999</v>
      </c>
      <c r="D184">
        <f t="shared" si="5"/>
        <v>1.1460000000000001</v>
      </c>
      <c r="E184" s="1">
        <f t="shared" si="6"/>
        <v>0.63915225878416071</v>
      </c>
      <c r="T184" s="1">
        <v>0.45960591133004947</v>
      </c>
    </row>
    <row r="185" spans="1:20" x14ac:dyDescent="0.25">
      <c r="A185" t="s">
        <v>7</v>
      </c>
      <c r="B185">
        <v>2.9329999999999998</v>
      </c>
      <c r="C185">
        <v>1.81</v>
      </c>
      <c r="D185">
        <f t="shared" si="5"/>
        <v>1.1229999999999998</v>
      </c>
      <c r="E185" s="1">
        <f t="shared" si="6"/>
        <v>0.62044198895027614</v>
      </c>
      <c r="T185" s="1">
        <v>0.80259683098591583</v>
      </c>
    </row>
    <row r="186" spans="1:20" x14ac:dyDescent="0.25">
      <c r="A186" t="s">
        <v>8</v>
      </c>
      <c r="B186">
        <v>2.9620000000000002</v>
      </c>
      <c r="C186">
        <v>1.802</v>
      </c>
      <c r="D186">
        <f t="shared" si="5"/>
        <v>1.1600000000000001</v>
      </c>
      <c r="E186" s="1">
        <f t="shared" si="6"/>
        <v>0.6437291897891233</v>
      </c>
    </row>
    <row r="187" spans="1:20" x14ac:dyDescent="0.25">
      <c r="A187" t="s">
        <v>9</v>
      </c>
      <c r="B187">
        <v>2.9849999999999999</v>
      </c>
      <c r="C187">
        <v>1.8839999999999999</v>
      </c>
      <c r="D187">
        <f t="shared" si="5"/>
        <v>1.101</v>
      </c>
      <c r="E187" s="1">
        <f t="shared" si="6"/>
        <v>0.58439490445859876</v>
      </c>
    </row>
    <row r="188" spans="1:20" x14ac:dyDescent="0.25">
      <c r="A188" t="s">
        <v>10</v>
      </c>
      <c r="B188">
        <v>2.9630000000000001</v>
      </c>
      <c r="C188">
        <v>2.0299999999999998</v>
      </c>
      <c r="D188">
        <f t="shared" si="5"/>
        <v>0.93300000000000027</v>
      </c>
      <c r="E188" s="1">
        <f t="shared" si="6"/>
        <v>0.45960591133004947</v>
      </c>
    </row>
    <row r="189" spans="1:20" x14ac:dyDescent="0.25">
      <c r="A189" t="s">
        <v>11</v>
      </c>
      <c r="B189">
        <v>8.1910000000000007</v>
      </c>
      <c r="C189">
        <v>4.5439999999999996</v>
      </c>
      <c r="D189">
        <f t="shared" si="5"/>
        <v>3.6470000000000011</v>
      </c>
      <c r="E189" s="1">
        <f t="shared" si="6"/>
        <v>0.80259683098591583</v>
      </c>
    </row>
    <row r="190" spans="1:20" x14ac:dyDescent="0.25">
      <c r="E190" s="1"/>
    </row>
    <row r="191" spans="1:20" x14ac:dyDescent="0.25">
      <c r="E191" s="1"/>
    </row>
    <row r="192" spans="1:20" x14ac:dyDescent="0.25">
      <c r="A192" s="3" t="s">
        <v>23</v>
      </c>
      <c r="B192" s="3"/>
      <c r="E192" s="1"/>
    </row>
    <row r="193" spans="1:20" x14ac:dyDescent="0.25">
      <c r="A193" t="s">
        <v>1</v>
      </c>
      <c r="B193" t="s">
        <v>19</v>
      </c>
      <c r="C193" t="s">
        <v>13</v>
      </c>
      <c r="E193" s="1"/>
      <c r="I193" t="s">
        <v>24</v>
      </c>
      <c r="J193" t="s">
        <v>25</v>
      </c>
      <c r="K193" t="s">
        <v>27</v>
      </c>
      <c r="T193" s="1">
        <v>2.1589296574092844</v>
      </c>
    </row>
    <row r="194" spans="1:20" x14ac:dyDescent="0.25">
      <c r="A194" t="s">
        <v>2</v>
      </c>
      <c r="B194">
        <v>15.583</v>
      </c>
      <c r="C194">
        <v>4.9329999999999998</v>
      </c>
      <c r="D194">
        <f t="shared" si="5"/>
        <v>10.65</v>
      </c>
      <c r="E194" s="1">
        <f t="shared" si="6"/>
        <v>2.1589296574092844</v>
      </c>
      <c r="I194" t="s">
        <v>2</v>
      </c>
      <c r="J194" s="1">
        <v>2.1589296574092844</v>
      </c>
      <c r="K194" s="1">
        <v>1.5846340968984391</v>
      </c>
      <c r="T194" s="1">
        <v>2.0422760969745544</v>
      </c>
    </row>
    <row r="195" spans="1:20" x14ac:dyDescent="0.25">
      <c r="A195" t="s">
        <v>3</v>
      </c>
      <c r="B195">
        <v>15.183999999999999</v>
      </c>
      <c r="C195">
        <v>4.9909999999999997</v>
      </c>
      <c r="D195">
        <f t="shared" si="5"/>
        <v>10.193</v>
      </c>
      <c r="E195" s="1">
        <f t="shared" si="6"/>
        <v>2.0422760969745544</v>
      </c>
      <c r="I195" t="s">
        <v>3</v>
      </c>
      <c r="J195" s="1">
        <v>2.0422760969745544</v>
      </c>
      <c r="K195" s="1">
        <v>1.5570026046884395</v>
      </c>
      <c r="T195" s="1">
        <v>1.9674484431864134</v>
      </c>
    </row>
    <row r="196" spans="1:20" x14ac:dyDescent="0.25">
      <c r="A196" t="s">
        <v>4</v>
      </c>
      <c r="B196">
        <v>14.677</v>
      </c>
      <c r="C196">
        <v>4.9459999999999997</v>
      </c>
      <c r="D196">
        <f t="shared" ref="D196:D216" si="7">B196-C196</f>
        <v>9.7309999999999999</v>
      </c>
      <c r="E196" s="1">
        <f t="shared" si="6"/>
        <v>1.9674484431864134</v>
      </c>
      <c r="I196" t="s">
        <v>4</v>
      </c>
      <c r="J196" s="1">
        <v>1.9674484431864134</v>
      </c>
      <c r="K196" s="1">
        <v>1.5329559239789732</v>
      </c>
      <c r="T196" s="1">
        <v>2.2077812828601475</v>
      </c>
    </row>
    <row r="197" spans="1:20" x14ac:dyDescent="0.25">
      <c r="A197" t="s">
        <v>5</v>
      </c>
      <c r="B197">
        <v>15.253</v>
      </c>
      <c r="C197">
        <v>4.7549999999999999</v>
      </c>
      <c r="D197">
        <f t="shared" si="7"/>
        <v>10.498000000000001</v>
      </c>
      <c r="E197" s="1">
        <f t="shared" si="6"/>
        <v>2.2077812828601475</v>
      </c>
      <c r="I197" t="s">
        <v>5</v>
      </c>
      <c r="J197" s="1">
        <v>2.2077812828601475</v>
      </c>
      <c r="K197" s="1">
        <v>1.7127234490010512</v>
      </c>
      <c r="T197" s="1">
        <v>1.8485576923076925</v>
      </c>
    </row>
    <row r="198" spans="1:20" x14ac:dyDescent="0.25">
      <c r="A198" t="s">
        <v>6</v>
      </c>
      <c r="B198">
        <v>14.22</v>
      </c>
      <c r="C198">
        <v>4.992</v>
      </c>
      <c r="D198">
        <f t="shared" si="7"/>
        <v>9.2280000000000015</v>
      </c>
      <c r="E198" s="1">
        <f t="shared" si="6"/>
        <v>1.8485576923076925</v>
      </c>
      <c r="I198" t="s">
        <v>6</v>
      </c>
      <c r="J198" s="1">
        <v>1.8485576923076925</v>
      </c>
      <c r="K198" s="1">
        <v>1.5799278846153846</v>
      </c>
      <c r="T198" s="1">
        <v>1.9014373716632447</v>
      </c>
    </row>
    <row r="199" spans="1:20" x14ac:dyDescent="0.25">
      <c r="A199" t="s">
        <v>7</v>
      </c>
      <c r="B199">
        <v>14.13</v>
      </c>
      <c r="C199">
        <v>4.87</v>
      </c>
      <c r="D199">
        <f t="shared" si="7"/>
        <v>9.2600000000000016</v>
      </c>
      <c r="E199" s="1">
        <f t="shared" si="6"/>
        <v>1.9014373716632447</v>
      </c>
      <c r="I199" t="s">
        <v>7</v>
      </c>
      <c r="J199" s="1">
        <v>1.9014373716632447</v>
      </c>
      <c r="K199" s="1">
        <v>1.5722792607802873</v>
      </c>
      <c r="T199" s="1">
        <v>1.8842404549147032</v>
      </c>
    </row>
    <row r="200" spans="1:20" x14ac:dyDescent="0.25">
      <c r="A200" t="s">
        <v>8</v>
      </c>
      <c r="B200">
        <v>14.202</v>
      </c>
      <c r="C200">
        <v>4.9240000000000004</v>
      </c>
      <c r="D200">
        <f t="shared" si="7"/>
        <v>9.2779999999999987</v>
      </c>
      <c r="E200" s="1">
        <f t="shared" si="6"/>
        <v>1.8842404549147032</v>
      </c>
      <c r="I200" t="s">
        <v>8</v>
      </c>
      <c r="J200" s="1">
        <v>1.8842404549147032</v>
      </c>
      <c r="K200" s="1">
        <v>1.6064175467099917</v>
      </c>
      <c r="T200" s="1">
        <v>1.7894523326572012</v>
      </c>
    </row>
    <row r="201" spans="1:20" x14ac:dyDescent="0.25">
      <c r="A201" t="s">
        <v>9</v>
      </c>
      <c r="B201">
        <v>13.752000000000001</v>
      </c>
      <c r="C201">
        <v>4.93</v>
      </c>
      <c r="D201">
        <f t="shared" si="7"/>
        <v>8.822000000000001</v>
      </c>
      <c r="E201" s="1">
        <f t="shared" si="6"/>
        <v>1.7894523326572012</v>
      </c>
      <c r="I201" t="s">
        <v>9</v>
      </c>
      <c r="J201" s="1">
        <v>1.7894523326572012</v>
      </c>
      <c r="K201" s="1">
        <v>1.5614604462474646</v>
      </c>
      <c r="T201" s="1">
        <v>1.6222770242498974</v>
      </c>
    </row>
    <row r="202" spans="1:20" x14ac:dyDescent="0.25">
      <c r="A202" t="s">
        <v>10</v>
      </c>
      <c r="B202">
        <v>12.76</v>
      </c>
      <c r="C202">
        <v>4.8659999999999997</v>
      </c>
      <c r="D202">
        <f t="shared" si="7"/>
        <v>7.8940000000000001</v>
      </c>
      <c r="E202" s="1">
        <f t="shared" si="6"/>
        <v>1.6222770242498974</v>
      </c>
      <c r="I202" t="s">
        <v>10</v>
      </c>
      <c r="J202" s="1">
        <v>1.6222770242498974</v>
      </c>
      <c r="K202" s="1">
        <v>1.3436087135224004</v>
      </c>
      <c r="T202" s="1">
        <v>2.0282337491792513</v>
      </c>
    </row>
    <row r="203" spans="1:20" x14ac:dyDescent="0.25">
      <c r="A203" t="s">
        <v>11</v>
      </c>
      <c r="B203">
        <v>46.12</v>
      </c>
      <c r="C203">
        <v>15.23</v>
      </c>
      <c r="D203">
        <f t="shared" si="7"/>
        <v>30.889999999999997</v>
      </c>
      <c r="E203" s="1">
        <f t="shared" si="6"/>
        <v>2.0282337491792513</v>
      </c>
      <c r="I203" t="s">
        <v>11</v>
      </c>
      <c r="J203" s="1">
        <v>2.0282337491792513</v>
      </c>
      <c r="K203" s="1">
        <v>1.8780695994747207</v>
      </c>
      <c r="T203" s="1">
        <v>1.5846340968984391</v>
      </c>
    </row>
    <row r="204" spans="1:20" x14ac:dyDescent="0.25">
      <c r="E204" s="1"/>
      <c r="T204" s="1">
        <v>1.5570026046884395</v>
      </c>
    </row>
    <row r="205" spans="1:20" x14ac:dyDescent="0.25">
      <c r="E205" s="1"/>
      <c r="T205" s="1">
        <v>1.5329559239789732</v>
      </c>
    </row>
    <row r="206" spans="1:20" x14ac:dyDescent="0.25">
      <c r="A206" t="s">
        <v>1</v>
      </c>
      <c r="B206" t="s">
        <v>14</v>
      </c>
      <c r="C206" t="s">
        <v>13</v>
      </c>
      <c r="E206" s="1"/>
      <c r="T206" s="1">
        <v>1.7127234490010512</v>
      </c>
    </row>
    <row r="207" spans="1:20" x14ac:dyDescent="0.25">
      <c r="A207" t="s">
        <v>2</v>
      </c>
      <c r="B207">
        <v>12.75</v>
      </c>
      <c r="C207">
        <v>4.9329999999999998</v>
      </c>
      <c r="D207">
        <f t="shared" si="7"/>
        <v>7.8170000000000002</v>
      </c>
      <c r="E207" s="1">
        <f t="shared" si="6"/>
        <v>1.5846340968984391</v>
      </c>
      <c r="T207" s="1">
        <v>1.5799278846153846</v>
      </c>
    </row>
    <row r="208" spans="1:20" x14ac:dyDescent="0.25">
      <c r="A208" t="s">
        <v>3</v>
      </c>
      <c r="B208">
        <v>12.762</v>
      </c>
      <c r="C208">
        <v>4.9909999999999997</v>
      </c>
      <c r="D208">
        <f t="shared" si="7"/>
        <v>7.7710000000000008</v>
      </c>
      <c r="E208" s="1">
        <f t="shared" si="6"/>
        <v>1.5570026046884395</v>
      </c>
      <c r="T208" s="1">
        <v>1.5722792607802873</v>
      </c>
    </row>
    <row r="209" spans="1:20" x14ac:dyDescent="0.25">
      <c r="A209" t="s">
        <v>4</v>
      </c>
      <c r="B209">
        <v>12.528</v>
      </c>
      <c r="C209">
        <v>4.9459999999999997</v>
      </c>
      <c r="D209">
        <f t="shared" si="7"/>
        <v>7.5820000000000007</v>
      </c>
      <c r="E209" s="1">
        <f t="shared" ref="E209:E216" si="8">D209/C209</f>
        <v>1.5329559239789732</v>
      </c>
      <c r="M209" t="s">
        <v>32</v>
      </c>
      <c r="N209" s="2">
        <f>MIN(T193:T212)</f>
        <v>1.3436087135224004</v>
      </c>
      <c r="T209" s="1">
        <v>1.6064175467099917</v>
      </c>
    </row>
    <row r="210" spans="1:20" x14ac:dyDescent="0.25">
      <c r="A210" t="s">
        <v>5</v>
      </c>
      <c r="B210">
        <v>12.898999999999999</v>
      </c>
      <c r="C210">
        <v>4.7549999999999999</v>
      </c>
      <c r="D210">
        <f t="shared" si="7"/>
        <v>8.1439999999999984</v>
      </c>
      <c r="E210" s="1">
        <f t="shared" si="8"/>
        <v>1.7127234490010512</v>
      </c>
      <c r="M210" t="s">
        <v>33</v>
      </c>
      <c r="N210" s="2">
        <f>MAX(T193:T212)</f>
        <v>2.2077812828601475</v>
      </c>
      <c r="T210" s="1">
        <v>1.5614604462474646</v>
      </c>
    </row>
    <row r="211" spans="1:20" x14ac:dyDescent="0.25">
      <c r="A211" t="s">
        <v>6</v>
      </c>
      <c r="B211">
        <v>12.879</v>
      </c>
      <c r="C211">
        <v>4.992</v>
      </c>
      <c r="D211">
        <f t="shared" si="7"/>
        <v>7.8869999999999996</v>
      </c>
      <c r="E211" s="1">
        <f t="shared" si="8"/>
        <v>1.5799278846153846</v>
      </c>
      <c r="M211" t="s">
        <v>34</v>
      </c>
      <c r="N211" s="2">
        <f>AVERAGE(T193:T212)</f>
        <v>1.768985681565977</v>
      </c>
      <c r="T211" s="1">
        <v>1.3436087135224004</v>
      </c>
    </row>
    <row r="212" spans="1:20" x14ac:dyDescent="0.25">
      <c r="A212" t="s">
        <v>7</v>
      </c>
      <c r="B212">
        <v>12.526999999999999</v>
      </c>
      <c r="C212">
        <v>4.87</v>
      </c>
      <c r="D212">
        <f t="shared" si="7"/>
        <v>7.6569999999999991</v>
      </c>
      <c r="E212" s="1">
        <f t="shared" si="8"/>
        <v>1.5722792607802873</v>
      </c>
      <c r="T212" s="1">
        <v>1.8780695994747207</v>
      </c>
    </row>
    <row r="213" spans="1:20" x14ac:dyDescent="0.25">
      <c r="A213" t="s">
        <v>8</v>
      </c>
      <c r="B213">
        <v>12.834</v>
      </c>
      <c r="C213">
        <v>4.9240000000000004</v>
      </c>
      <c r="D213">
        <f t="shared" si="7"/>
        <v>7.9099999999999993</v>
      </c>
      <c r="E213" s="1">
        <f t="shared" si="8"/>
        <v>1.6064175467099917</v>
      </c>
    </row>
    <row r="214" spans="1:20" x14ac:dyDescent="0.25">
      <c r="A214" t="s">
        <v>9</v>
      </c>
      <c r="B214">
        <v>12.628</v>
      </c>
      <c r="C214">
        <v>4.93</v>
      </c>
      <c r="D214">
        <f t="shared" si="7"/>
        <v>7.6980000000000004</v>
      </c>
      <c r="E214" s="1">
        <f t="shared" si="8"/>
        <v>1.5614604462474646</v>
      </c>
    </row>
    <row r="215" spans="1:20" x14ac:dyDescent="0.25">
      <c r="A215" t="s">
        <v>10</v>
      </c>
      <c r="B215">
        <v>11.404</v>
      </c>
      <c r="C215">
        <v>4.8659999999999997</v>
      </c>
      <c r="D215">
        <f t="shared" si="7"/>
        <v>6.5380000000000003</v>
      </c>
      <c r="E215" s="1">
        <f t="shared" si="8"/>
        <v>1.3436087135224004</v>
      </c>
    </row>
    <row r="216" spans="1:20" x14ac:dyDescent="0.25">
      <c r="A216" t="s">
        <v>11</v>
      </c>
      <c r="B216">
        <v>43.832999999999998</v>
      </c>
      <c r="C216">
        <v>15.23</v>
      </c>
      <c r="D216">
        <f t="shared" si="7"/>
        <v>28.602999999999998</v>
      </c>
      <c r="E216" s="1">
        <f t="shared" si="8"/>
        <v>1.8780695994747207</v>
      </c>
    </row>
  </sheetData>
  <mergeCells count="8">
    <mergeCell ref="A165:B165"/>
    <mergeCell ref="A192:B192"/>
    <mergeCell ref="A29:B29"/>
    <mergeCell ref="A1:B1"/>
    <mergeCell ref="A57:B57"/>
    <mergeCell ref="A84:B84"/>
    <mergeCell ref="A111:B111"/>
    <mergeCell ref="A138:B1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Schoening, Matthew</dc:creator>
  <cp:lastModifiedBy>Schoening, Matthew</cp:lastModifiedBy>
  <dcterms:created xsi:type="dcterms:W3CDTF">2026-04-14T17:34:24Z</dcterms:created>
  <dcterms:modified xsi:type="dcterms:W3CDTF">2026-04-15T23:08:29Z</dcterms:modified>
</cp:coreProperties>
</file>